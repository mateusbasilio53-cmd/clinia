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ientes" sheetId="1" state="visible" r:id="rId3"/>
    <sheet name="leia-me" sheetId="2" state="visible" r:id="rId4"/>
    <sheet name="tipos_de_caso" sheetId="3" state="visible" r:id="rId5"/>
  </sheets>
  <definedNames>
    <definedName function="false" hidden="true" localSheetId="0" name="_xlnm._FilterDatabase" vbProcedure="false">pacientes!$A$1:$O$101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<sst xmlns="http://schemas.openxmlformats.org/spreadsheetml/2006/main" count="1687" uniqueCount="370">
  <si>
    <t xml:space="preserve">id_paciente</t>
  </si>
  <si>
    <t xml:space="preserve">idade</t>
  </si>
  <si>
    <t xml:space="preserve">sexo</t>
  </si>
  <si>
    <t xml:space="preserve">diagnostico</t>
  </si>
  <si>
    <t xml:space="preserve">hba1c</t>
  </si>
  <si>
    <t xml:space="preserve">creatinina</t>
  </si>
  <si>
    <t xml:space="preserve">glicemia_jejum</t>
  </si>
  <si>
    <t xml:space="preserve">imc</t>
  </si>
  <si>
    <t xml:space="preserve">medicamentos</t>
  </si>
  <si>
    <t xml:space="preserve">neoplasia_ativa</t>
  </si>
  <si>
    <t xml:space="preserve">gestacao</t>
  </si>
  <si>
    <t xml:space="preserve">anotacao_medica</t>
  </si>
  <si>
    <t xml:space="preserve">gab_neoplasia</t>
  </si>
  <si>
    <t xml:space="preserve">gab_gestacao</t>
  </si>
  <si>
    <t xml:space="preserve">gab_metformina</t>
  </si>
  <si>
    <t xml:space="preserve">PAC-201</t>
  </si>
  <si>
    <t xml:space="preserve">M</t>
  </si>
  <si>
    <t xml:space="preserve">DM2; HAS</t>
  </si>
  <si>
    <t xml:space="preserve">Metformina 850mg 2x/dia; Anlodipino 5mg 1x/dia</t>
  </si>
  <si>
    <t xml:space="preserve">Não</t>
  </si>
  <si>
    <t xml:space="preserve">Paciente do sexo masculino, 46 anos, em acompanhamento ambulatorial por diabetes mellitus tipo 2, com HAS. Refere boa adesão à dieta nas últimas semanas. Exames recentes: HbA1c de 9,0%, glicemia de jejum 185 mg/dL e creatinina 1,1 mg/dL; IMC de 23,9 kg/m². Em uso de MTF 850mg 12/12h, anlodipino 5mg/dia. Hx de Ca de tireoide operado em 2015, sem evidência de doença desde então.</t>
  </si>
  <si>
    <t xml:space="preserve">negado</t>
  </si>
  <si>
    <t xml:space="preserve">nao_mencionado</t>
  </si>
  <si>
    <t xml:space="preserve">afirmado</t>
  </si>
  <si>
    <t xml:space="preserve">PAC-202</t>
  </si>
  <si>
    <t xml:space="preserve">DM2; Dislipidemia; Obesidade</t>
  </si>
  <si>
    <t xml:space="preserve">Metformina XR 1g 1x/dia; Atorvastatina 20mg 1x/dia</t>
  </si>
  <si>
    <t xml:space="preserve">Masc, 76a, DM2 + Dislipidemia + Obesidade. Assintomático, sem hipoglicemias. Lab: HbA1c 11,1 | glicemia jejum 259 | Cr 0,9. MUC: metformina XR 1g à noite, atorvastatina 20mg/dia. Pai faleceu de Ca de próstata. Retorno em 3 meses.</t>
  </si>
  <si>
    <t xml:space="preserve">PAC-203</t>
  </si>
  <si>
    <t xml:space="preserve">F</t>
  </si>
  <si>
    <t xml:space="preserve">DM2; HAS; Obesidade</t>
  </si>
  <si>
    <t xml:space="preserve">Metformina 850mg 2x/dia; Losartana 50mg 1x/dia</t>
  </si>
  <si>
    <t xml:space="preserve">Fem, 21a, DM2 + HAS + Obesidade. Refere dificuldade em seguir a dieta. Lab: HbA1c 9,6 | GJ 231 | creat 1,1 | IMC 32,2. MUC: metformina 850mg 2x/dia, losartana 50mg 1x/dia. Beta-HCG negativo colhido na semana passada.</t>
  </si>
  <si>
    <t xml:space="preserve">PAC-204</t>
  </si>
  <si>
    <t xml:space="preserve">Empagliflozina 25mg 1x/dia; Anlodipino 5mg 1x/dia</t>
  </si>
  <si>
    <t xml:space="preserve">Fem, 33a, DM2 + HAS + Obesidade. Lab: HbA1c 11,9 | glicemai de jejum 247 | creat 1,2 | IMC 42,4. MUC: empagliflozina 25mg/dia, anlodipino 5mg/dia. Nunca usou metformina. Nega neoplasias. Dois filhos, partos cesáreos.</t>
  </si>
  <si>
    <t xml:space="preserve">PAC-205</t>
  </si>
  <si>
    <t xml:space="preserve">DM2; Obesidade</t>
  </si>
  <si>
    <t xml:space="preserve">Sitagliptina 100mg 1x/dia; Insulina NPH 20UI à noite</t>
  </si>
  <si>
    <t xml:space="preserve">Sim</t>
  </si>
  <si>
    <t xml:space="preserve">Paciente do sexo feminino, 21 anos, em acompanhamento ambulatorial por diabetes mellitus tipo 2, com obesidade. Assintomática, sem hipoglicemias. Exames recentes: HbA1c de 10,0% e creatinina 1,2 mg/dL; IMC de 37,7 kg/m². Em uso de sitagliptina 100mg/dia, insulina NPH 20UI ao deitar. Nega uso de metformina. Gestante, 20 semanas, pré-natal de alto risco.</t>
  </si>
  <si>
    <t xml:space="preserve">PAC-206</t>
  </si>
  <si>
    <t xml:space="preserve">Empagliflozina 25mg 1x/dia; Sinvastatina 20mg à noite</t>
  </si>
  <si>
    <t xml:space="preserve">Pcte F, 56 anos, portadora de DM2 há 7 anos, dislipidemia, obesidade, vem para retorno. Sem queixas no momento. Últimos exames: A1c 9,3%; glic jejum 214; IMC 41,4 kg/m². Faz uso de empagliflozina 25mg/dia, sinvastatina 20mg à noite.</t>
  </si>
  <si>
    <t xml:space="preserve">PAC-207</t>
  </si>
  <si>
    <t xml:space="preserve">DM2; IRC; Obesidade</t>
  </si>
  <si>
    <t xml:space="preserve">Empagliflozina 25mg 1x/dia</t>
  </si>
  <si>
    <t xml:space="preserve">Paciente do sexo feminino, 29 anos, em acompanhamento ambulatorial por diabetes mellitus tipo 2, com IRC, obesidade. Veio acompanhada do filho. Exames recentes: HbA1c de 7,6%, glicemia de jejum de 130 mg/dL e creatinina 1,9 mg/dL; IMC de 39,9 kg/m². Em uso de empagliflozina 25mg/dia. β-HCG neg.</t>
  </si>
  <si>
    <t xml:space="preserve">PAC-208</t>
  </si>
  <si>
    <t xml:space="preserve">DM2</t>
  </si>
  <si>
    <t xml:space="preserve">Sra. 38 anos, portadora de DM2 há 10 anos, vem para retorno. Últimos exames: HbA1c 7,0%; glic jejum 161; IMC 29,0 kg/m². Faz uso de empagliflozina 25mg/dia. AF: irmã com neoplasia de ovário.</t>
  </si>
  <si>
    <t xml:space="preserve">PAC-209</t>
  </si>
  <si>
    <t xml:space="preserve">Metformina XR 1g 1x/dia</t>
  </si>
  <si>
    <t xml:space="preserve">Paciente do sexo feminino, 34 anos, em acompanhamento ambulatorial por diabetes mellitus tipo 2. Queixa-se de poliúria e cansaço. Exames recentes: HbA1c de 10,4%, glicemia de jejum 248 mg/dL e creatinina 0,7 mg/dL; IMC de 24,2 kg/m². Em uso de MTF XR 1g 1x/d. Nega gestação; usa DIU.</t>
  </si>
  <si>
    <t xml:space="preserve">PAC-210</t>
  </si>
  <si>
    <t xml:space="preserve">Metformina 500mg 3x/dia; Hidroclorotiazida 25mg 1x/dia</t>
  </si>
  <si>
    <t xml:space="preserve">Pcte M, 75 anos, portador de DM2 há 9 anos, HAS, vem para retorno. Relata episódios de hipoglicemia leve pela manhã. Últimos exames: A1c 9,5%; glic jejum 237; creat 1,2. Faz uso de metformina 500mg 3x/dia, HCTZ 25mg 1x/dia.</t>
  </si>
  <si>
    <t xml:space="preserve">PAC-211</t>
  </si>
  <si>
    <t xml:space="preserve">Metformina 1g 2x/dia</t>
  </si>
  <si>
    <t xml:space="preserve">Paciente do sexo masculino, 65 anos, em acompanhamento ambulatorial por diabetes mellitus tipo 2, com IRC, obesidade. Exames recentes: HbA1c de 7,0%, glicemia de jejum de 173 mg/dL e creatinina 1,8 mg/dL; IMC de 36,2 kg/m². Em uso de MTF 1g 12/12h. Linfoma em atividade, em QT no hospital de referência. Solicito fundo de olho e microalbuminúria.</t>
  </si>
  <si>
    <t xml:space="preserve">PAC-212</t>
  </si>
  <si>
    <t xml:space="preserve">Gliclazida MR 60mg 1x/dia; Enalapril 10mg 2x/dia</t>
  </si>
  <si>
    <t xml:space="preserve">Masc, 49a, DM2 + HAS + Obesidade. Refere dificuldade em seguir a dieta. Lab: HbA1c 8,6 | glicemia jejum 183 | Cr 1,2 | IMC 42,1. MUC: gliclazida MR 60mg pela manhã, enalapril 10mg 12/12h. Orientado dieta e atividade física.</t>
  </si>
  <si>
    <t xml:space="preserve">PAC-213</t>
  </si>
  <si>
    <t xml:space="preserve">Gliclazida MR 60mg 1x/dia; Hidroclorotiazida 25mg 1x/dia</t>
  </si>
  <si>
    <t xml:space="preserve">Sr. 82 anos, portador de DM2 há 2 anos, HAS, vem para retorno. Refere boa adesão à dieta nas últimas semanas. Últimos exames: A1c 11,4%; glic jejum 289; creat 1,2; IMC 24,2 kg/m². Faz uso de gliclazida MR 60mg pela manhã, HCTZ 25mg 1x/dia. Trocamos metformina por gliclazida há 4 meses. Orientado dieta e atividade física.</t>
  </si>
  <si>
    <t xml:space="preserve">PAC-214</t>
  </si>
  <si>
    <t xml:space="preserve">Metformina 500mg 3x/dia; Sinvastatina 20mg à noite</t>
  </si>
  <si>
    <t xml:space="preserve">Paciente do sexo feminino, 80 anos, em acompanhamento ambulatorial por diabetes mellitus tipo 2, com dislipidemia, obesidade. Veio acompanhada do filho. Exames recentes: HbA1c de 6,5%, glicemia de jejum de 147 mg/dL e creatinina 1,2 mg/dL; IMC de 36,4 kg/m². Em uso de MTF 500mg 8/8h, sinvastatina 20mg à noite. Solicito fundo de olho e microalbuminúria.</t>
  </si>
  <si>
    <t xml:space="preserve">PAC-215</t>
  </si>
  <si>
    <t xml:space="preserve">DM2; IRC; Dislipidemia</t>
  </si>
  <si>
    <t xml:space="preserve">Sitagliptina 100mg 1x/dia; Atorvastatina 20mg 1x/dia</t>
  </si>
  <si>
    <t xml:space="preserve">Sra. 49 anos, portadora de DM2 há 15 anos, IRC, dislipidemia, vem para retorno. Últimos exames: HbA1c 6,4%; glic jejum 93; creat 2,5; IMC 25,4 kg/m². Faz uso de sitagliptina 100mg/dia, atorvastatina 20mg/dia.</t>
  </si>
  <si>
    <t xml:space="preserve">PAC-216</t>
  </si>
  <si>
    <t xml:space="preserve">Paciente do sexo feminino, 56 anos, em acompanhamento ambulatorial por diabetes mellitus tipo 2, com obesidade. Refere boa adesão à dieta nas últimas semanas. Exames recentes: HbA1c de 10,0%, glicemia de jejum de 227 mg/dL e creatinina 0,9 mg/dL; IMC de 32,8 kg/m². Em uso de empagliflozina 25mg/dia. Substituída MTF por empagliflozina na consulta anterior. Nega neoplasias.</t>
  </si>
  <si>
    <t xml:space="preserve">PAC-217</t>
  </si>
  <si>
    <t xml:space="preserve">Paciente do sexo masculino, 58 anos, em acompanhamento ambulatorial por diabetes mellitus tipo 2, com HAS, obesidade. Refere boa adesão à dieta nas últimas semanas. Exames recentes: HbA1c de 8,9%, glicemia de jejum 190 mg/dL e creatinina 1,1 mg/dL; IMC de 41,6 kg/m². Em uso de MTF 850mg 12/12h, losartana 50mg 1x/dia. Hx de Ca de tireoide operado em 2015, sem evidência de doença desde então. Reforçada orientação sobre hipoglicemia.</t>
  </si>
  <si>
    <t xml:space="preserve">PAC-218</t>
  </si>
  <si>
    <t xml:space="preserve">Metformina XR 1g 1x/dia; Hidroclorotiazida 25mg 1x/dia</t>
  </si>
  <si>
    <t xml:space="preserve">Paciente do sexo feminino, 35 anos, em acompanhamento ambulatorial por diabetes mellitus tipo 2, com HAS, obesidade. Refere boa adesão à dieta nas últimas semanas. Exames recentes: HbA1c de 11,3%, glicemia de jejum de 273 mg/dL e creatinina 0,7 mg/dL; IMC de 37,6 kg/m². Em uso de metformia XR 1g 1x/d, HCTZ 25mg 1x/dia. G3P2A1. Orientado dieta e atividade física.</t>
  </si>
  <si>
    <t xml:space="preserve">PAC-219</t>
  </si>
  <si>
    <t xml:space="preserve">Pcte F, 64 anos, portadora de DM2 há 17 anos, HAS, obesidade, vem para retorno. Sem queixas no momento. Últimos exames: A1c 10,2%; glic jejum 242; creat 1,2; IMC 42,2 kg/m². Faz uso de metformina 850mg 2x/dia, anlodipino 5mg/dia. Encaminho para nutrição.</t>
  </si>
  <si>
    <t xml:space="preserve">PAC-220</t>
  </si>
  <si>
    <t xml:space="preserve">Insulina NPH 20UI à noite</t>
  </si>
  <si>
    <t xml:space="preserve">Paciente do sexo feminino, 70 anos, em acompanhamento ambulatorial por diabetes mellitus tipo 2. Refere boa adesão à dieta nas últimas semanas. Exames recentes: HbA1c de 7,0%, glicemia de jejum de 154 mg/dL e creatinina 1,0 mg/dL; IMC de 26,9 kg/m². Em uso de insulina NPH 20UI ao deitar. Recebeu receita de metformina mas ainda não começou a tomar. Sem antecedentes oncológicos.</t>
  </si>
  <si>
    <t xml:space="preserve">PAC-221</t>
  </si>
  <si>
    <t xml:space="preserve">DM2; HAS; Dislipidemia</t>
  </si>
  <si>
    <t xml:space="preserve">Metformina XR 1g 1x/dia; Hidroclorotiazida 25mg 1x/dia; Sinvastatina 20mg à noite; AAS 100mg 1x/dia</t>
  </si>
  <si>
    <t xml:space="preserve">Paciente do sexo feminino, 28 anos, em acompanhamento ambulatorial por diabetes mellitus tipo 2, com HAS, dislipidemia. Exames recentes: HbA1c de 9,0%, glicemia de jejum 187 mg/dL e creatinina 1,3 mg/dL; IMC de 23,4 kg/m². Em uso de metformina XR 1g à noite, HCTZ 25mg 1x/dia, sinvastatina 20mg à noite, AAS 100mg/dia. Refere atraso menstrual de 3 semanas; solicitado beta-HCG, aguarda resultado.</t>
  </si>
  <si>
    <t xml:space="preserve">incerto</t>
  </si>
  <si>
    <t xml:space="preserve">PAC-222</t>
  </si>
  <si>
    <t xml:space="preserve">Fem, 39a, DM2. Refere dificuldade em seguir a dieta. Lab: HbA1c 8,3 | GJ 185 | creat 1,0 | IMC: 22,1. MUC: empagliflozina 25mg/dia. Nega gestação; usa DIU.</t>
  </si>
  <si>
    <t xml:space="preserve">PAC-223</t>
  </si>
  <si>
    <t xml:space="preserve">Paciente do sexo feminino, 26 anos, em acompanhamento ambulatorial por diabetes mellitus tipo 2, com obesidade. Exames recentes: HbA1c de 10,6%, glicemia de jejum de 251 mg/dL e creatinina 1,0 mg/dL; IMC de 38,5 kg/m². Em uso de MTF XR 1g 1x/d. Atraso menstrual, teste de farmácia 'duvidoso'. Pedido beta-HCG. Retorno em 3 meses.</t>
  </si>
  <si>
    <t xml:space="preserve">PAC-224</t>
  </si>
  <si>
    <t xml:space="preserve">Metformina 850mg 2x/dia; Hidroclorotiazida 25mg 1x/dia; AAS 100mg 1x/dia</t>
  </si>
  <si>
    <t xml:space="preserve">Fem, 78a, DM2 + HAS. Assintomática, sem hipoglicemias. Lab: HbA1c 10,9 | glicemai de jejum 251 | creat 0,7 | IMC: 21,9. MUC: metformina 850mg 2x/dia, HCTZ 25mg 1x/dia, AAS 100mg/dia. Hx de Ca de tireoide operado em 2015, sem evidência de doença desde então. Retorno em 3 meses.</t>
  </si>
  <si>
    <t xml:space="preserve">PAC-225</t>
  </si>
  <si>
    <t xml:space="preserve">Gliclazida MR 60mg 1x/dia; Insulina NPH 20UI à noite</t>
  </si>
  <si>
    <t xml:space="preserve">Sra. 29 anos, portadora de DM2 há 2 anos, obesidade, vem para retorno. Sem queixas no momento. Últimos exames: HbA1c 6,8%; glic jejum 150; creat 1,0; IMC 32,9 kg/m². Faz uso de gliclazida MR 60mg pela manhã, insulina NPH 20UI ao deitar. Trocamos metformina por gliclazida há 4 meses. Gestante de 16 semanas, em acompanhamento conjunto com a obstetrícia.</t>
  </si>
  <si>
    <t xml:space="preserve">PAC-226</t>
  </si>
  <si>
    <t xml:space="preserve">DM2; HAS; Dislipidemia; Obesidade</t>
  </si>
  <si>
    <t xml:space="preserve">Hidroclorotiazida 25mg 1x/dia; Sinvastatina 20mg à noite</t>
  </si>
  <si>
    <t xml:space="preserve">Paciente do sexo feminino, 47 anos, em acompanhamento ambulatorial por diabetes mellitus tipo 2, com HAS, dislipidemia, obesidade. Veio acompanhada do filho. Exames recentes: HbA1c de 6,4%, glicemia de jejum de 99 mg/dL e creatinina 0,7 mg/dL; IMC de 39,9 kg/m². Em uso de HCTZ 25mg 1x/dia, sinvastatina 20mg à noite. Recebeu receita de metformina mas ainda não começou a tomar.</t>
  </si>
  <si>
    <t xml:space="preserve">PAC-227</t>
  </si>
  <si>
    <t xml:space="preserve">Metformina 1g 2x/dia; Anlodipino 5mg 1x/dia; AAS 100mg 1x/dia</t>
  </si>
  <si>
    <t xml:space="preserve">Pcte M, 75 anos, portador de DM2 há 2 anos, HAS, vem para retorno. Refere dificuldade em seguir a dieta. Últimos exames: A1c 11,8%; glic jejum 277; creat 1,2; IMC 28,4 kg/m². Faz uso de metformina 1g 2x/dia, anlodipino 5mg/dia, AAS 100mg/dia. Encaminho para nutrição.</t>
  </si>
  <si>
    <t xml:space="preserve">PAC-228</t>
  </si>
  <si>
    <t xml:space="preserve">Paciente do sexo feminino, 44 anos, em acompanhamento ambulatorial por diabetes mellitus tipo 2, com HAS. Refere dificuldade em seguir a dieta. Exames recentes: HbA1c de 7,6%, glicemia de jejum de 141 mg/dL e creatinina 0,9 mg/dL; IMC de 26,3 kg/m². Em uso de gliclazida MR 60mg pela manhã, enalapril 10mg 12/12h. Sem antecedentes oncológicos. Mantida conduta.</t>
  </si>
  <si>
    <t xml:space="preserve">PAC-229</t>
  </si>
  <si>
    <t xml:space="preserve">Metformina 500mg 3x/dia; Enalapril 10mg 2x/dia</t>
  </si>
  <si>
    <t xml:space="preserve">Fem, DM2 + HAS. Refere boa adesão à dieta nas últimas semanas. Lab: HbA1c 8,0 | glicemai de jejum 186 | Cr 0,7 | IMC 23,5. MUC: MTF 500mg 8/8h, enalapril 10mg 12/12h. Acompanhou com a oncologia no passado; não sabe se ainda tem retorno marcado. Orientado dieta e atividade física.</t>
  </si>
  <si>
    <t xml:space="preserve">PAC-230</t>
  </si>
  <si>
    <t xml:space="preserve">Metformina 850mg 2x/dia; Hidroclorotiazida 25mg 1x/dia</t>
  </si>
  <si>
    <t xml:space="preserve">Paciente do sexo feminino, 68 anos, em acompanhamento ambulatorial por diabetes mellitus tipo 2, com HAS, obesidade. Refere boa adesão à dieta nas últimas semanas. Exames recentes: HbA1c de 9,3%, glicemia de jejum de 212 mg/dL e creatinina 0,8 mg/dL; IMC de 37,1 kg/m². Em uso de metformina 850mg 2x/dia, HCTZ 25mg 1x/dia. Encaminho para nutrição.</t>
  </si>
  <si>
    <t xml:space="preserve">PAC-231</t>
  </si>
  <si>
    <t xml:space="preserve">Metformina XR 1g 1x/dia; Enalapril 10mg 2x/dia; Levotiroxina 50mcg 1x/dia</t>
  </si>
  <si>
    <t xml:space="preserve">Fem, 37a, DM2 + HAS + Obesidade. Lab: HbA1c 7,9 | glicemia jejum 181 | creat 1,2 | IMC 33,8. MUC: metformia XR 1g 1x/d, enalapril 10mg 12/12h, levotiroxina 50mcg em jejum. Em QT adjuvante para Ca de mama, ciclo 4 de 6. Mantida conduta.</t>
  </si>
  <si>
    <t xml:space="preserve">PAC-232</t>
  </si>
  <si>
    <t xml:space="preserve">Masc, 40a, DM2 + HAS + Obesidade. Lab: HbA1c 7,2 | glicemai de jejum 139 | creat 1,0 | IMC 38,7. MUC: losartana 50mg 1x/dia. Receita prévia de metformina 850mg 2x/dia. Não sabe dizer se está usando. Sem antecedentes oncológicos.</t>
  </si>
  <si>
    <t xml:space="preserve">PAC-233</t>
  </si>
  <si>
    <t xml:space="preserve">Metformina 500mg 3x/dia; Enalapril 10mg 2x/dia; Sinvastatina 20mg à noite</t>
  </si>
  <si>
    <t xml:space="preserve">Paciente do sexo feminino, 58 anos, em acompanhamento ambulatorial por diabetes mellitus tipo 2, com HAS, dislipidemia, obesidade. Refere dificuldade em seguir a dieta. Exames recentes: HbA1c de 8,9%, glicemia de jejum 209 mg/dL e creatinina 0,9 mg/dL; IMC de 42,5 kg/m². Em uso de MTF 500mg 8/8h, enalapril 10mg 12/12h, sinvastatina 20mg à noite. Nega neoplasias. Encaminho para nutrição.</t>
  </si>
  <si>
    <t xml:space="preserve">PAC-234</t>
  </si>
  <si>
    <t xml:space="preserve">Metformina XR 1g 1x/dia; Losartana 50mg 1x/dia</t>
  </si>
  <si>
    <t xml:space="preserve">Sra. 43 anos, portadora de DM2 há 5 anos, HAS, vem para retorno. Refere boa adesão à dieta nas últimas semanas. Últimos exames: A1c 10,6%; glic jejum 214; creat 0,8; IMC 29,2 kg/m². Faz uso de metformina XR 1g à noite, losartana 50mg 1x/dia. Mãe com Ca de mama. Solicito fundo de olho e microalbuminúria.</t>
  </si>
  <si>
    <t xml:space="preserve">PAC-235</t>
  </si>
  <si>
    <t xml:space="preserve">Metformina 500mg 3x/dia</t>
  </si>
  <si>
    <t xml:space="preserve">Paciente do sexo masculino, 36 anos, em acompanhamento ambulatorial por diabetes mellitus tipo 2, com obesidade. Refere dificuldade em seguir a dieta. Exames recentes: HbA1c de 6,4%, glicemia de jejum de 123 mg/dL e creatinina 0,7 mg/dL; IMC de 30,8 kg/m². Em uso de metformina 500mg 3x/dia. Antecedente de Ca de próstata tratado com prostatectomia em 2016, em remissão, já com alta da oncologia. Retorno em 3 meses.</t>
  </si>
  <si>
    <t xml:space="preserve">PAC-236</t>
  </si>
  <si>
    <t xml:space="preserve">Metformina 1g 2x/dia; Sinvastatina 20mg à noite</t>
  </si>
  <si>
    <t xml:space="preserve">Sr. 79 anos, portador de DM2 há 8 anos, dislipidemia, obesidade, vem para retorno. Últimos exames: HbA1c 11,3%; glic jejum 239; creat 0,9; IMC 41,9 kg/m². Faz uso de metformna 1g 2x/dia, sinvastatina 20mg à noite.</t>
  </si>
  <si>
    <t xml:space="preserve">PAC-237</t>
  </si>
  <si>
    <t xml:space="preserve">Paciente do sexo feminino, 71 anos, em acompanhamento ambulatorial por diabetes mellitus tipo 2, com HAS, dislipidemia. Sem queixas no momento. Exames recentes: HbA1c de 11,6%, glicemia de jejum de 279 mg/dL e creatinina 0,9 mg/dL; IMC de 27,4 kg/m². Em uso de MTF 500mg 8/8h, enalapril 10mg 12/12h, sinvastatina 20mg à noite.</t>
  </si>
  <si>
    <t xml:space="preserve">PAC-238</t>
  </si>
  <si>
    <t xml:space="preserve">Sitagliptina 100mg 1x/dia; Anlodipino 5mg 1x/dia</t>
  </si>
  <si>
    <t xml:space="preserve">Pcte M, 60 anos, portador de DM2 há 17 anos, HAS, obesidade, vem para retorno. Relata episódios de hipoglicemia leve pela manhã. Últimos exames: A1c 7,4%; glic jejum 148; creat 1,1; IMC 31,4 kg/m². Faz uso de sitagliptina 100mg/dia, anlodipino 5mg/dia. Metformina trocada por sitagliptina por intolerância. Refere 'tumor no intestino' operado, não sabe informar detalhes.</t>
  </si>
  <si>
    <t xml:space="preserve">PAC-239</t>
  </si>
  <si>
    <t xml:space="preserve">Hidroclorotiazida 25mg 1x/dia; Atorvastatina 20mg 1x/dia</t>
  </si>
  <si>
    <t xml:space="preserve">Fem, 26a, DM2 + HAS + Dislipidemia + Obesidade. Veio acompanhada do filho. Lab: HbA1c 10,4 | glicemia jejum 251 | creat 0,8 | IMC 39,0. MUC: HCTZ 25mg 1x/dia, atorvastatina 20mg/dia. MTF prescrita há 1 mês, não iniciou por dificuldade de acesso ao medicamento. Beta-HCG negativo (03/10).</t>
  </si>
  <si>
    <t xml:space="preserve">PAC-240</t>
  </si>
  <si>
    <t xml:space="preserve">DM2; HAS; IRC; Obesidade</t>
  </si>
  <si>
    <t xml:space="preserve">Sitagliptina 100mg 1x/dia; Hidroclorotiazida 25mg 1x/dia</t>
  </si>
  <si>
    <t xml:space="preserve">Pcte F, 69 anos, portadora de DM2 há 14 anos, HAS, IRC, obesidade, vem para retorno. Relata episódios de hipoglicemia leve pela manhã. Últimos exames: HbA1c 8,5%; glic jejum 209; creat 1,6; IMC 30,1 kg/m². Faz uso de sitagliptina 100mg/dia, HCTZ 25mg 1x/dia. Encaminho para nutrição.</t>
  </si>
  <si>
    <t xml:space="preserve">PAC-241</t>
  </si>
  <si>
    <t xml:space="preserve">Paciente do sexo masculino, 67 anos, em acompanhamento ambulatorial por diabetes mellitus tipo 2. Relata episódios de hipoglicemia leve pela manhã. Exames recentes: HbA1c de 9,8%, glicemia de jejum 227 mg/dL e creatinina 1,1 mg/dL; IMC de 29,8 kg/m². Em uso de metformina XR 1g à noite. AF: irmã com neoplasia de ovário.</t>
  </si>
  <si>
    <t xml:space="preserve">PAC-242</t>
  </si>
  <si>
    <t xml:space="preserve">Paciente do sexo masculino, 40 anos, em acompanhamento ambulatorial por diabetes mellitus tipo 2, com IRC, obesidade. Assintomático, sem hipoglicemias. Exames recentes: HbA1c de 8,9%, glicemia de jejum de 207 mg/dL e creatinina 1,7 mg/dL; IMC de 37,6 kg/m². Em uso de empagliflozina 25mg/dia. Recebeu receita de metformina mas ainda não começou a tomar. Reforçada orientação sobre hipoglicemia.</t>
  </si>
  <si>
    <t xml:space="preserve">PAC-243</t>
  </si>
  <si>
    <t xml:space="preserve">Metformina 500mg 3x/dia; Anlodipino 5mg 1x/dia</t>
  </si>
  <si>
    <t xml:space="preserve">Sra. 24 anos, portadora de DM2 há 14 anos, HAS, obesidade, vem para retorno. Relata episódios de hipoglicemia leve pela manhã. Últimos exames: HbA1c 9,2%; glic jejum 207; creat 0,7; IMC 38,6 kg/m². Faz uso de MTF 500mg 8/8h, anlodipino 5mg/dia. Beta-HCG negativo (03/10). Orientado dieta e atividade física.</t>
  </si>
  <si>
    <t xml:space="preserve">PAC-244</t>
  </si>
  <si>
    <t xml:space="preserve">Metformina XR 1g 1x/dia; Levotiroxina 50mcg 1x/dia</t>
  </si>
  <si>
    <t xml:space="preserve">Paciente do sexo masculino, 81 anos, em acompanhamento ambulatorial por diabetes mellitus tipo 2, com obesidade. Sem queixas no momento. Exames recentes: HbA1c de 7,0%, glicemia de jejum 179 mg/dL e creatinina 0,7 mg/dL; IMC de 36,4 kg/m². Em uso de metformina XR 1g à noite, levotiroxina 50mcg em jejum. Em radioterapia para tumor de cabeça e pescoço.</t>
  </si>
  <si>
    <t xml:space="preserve">PAC-245</t>
  </si>
  <si>
    <t xml:space="preserve">Paciente do sexo feminino, 56 anos, em acompanhamento ambulatorial por diabetes mellitus tipo 2, com HAS. Nega poliúria ou polidipsia. Exames recentes: HbA1c de 8,2%, glicemia de jejum 186 mg/dL e creatinina 0,6 mg/dL; IMC de 26,6 kg/m². Em uso de sitagliptina 100mg/dia, HCTZ 25mg 1x/dia. Mantida conduta.</t>
  </si>
  <si>
    <t xml:space="preserve">PAC-246</t>
  </si>
  <si>
    <t xml:space="preserve">Metformina 850mg 2x/dia; Enalapril 10mg 2x/dia; AAS 100mg 1x/dia</t>
  </si>
  <si>
    <t xml:space="preserve">Fem, 54a, DM2 + HAS + Obesidade. Sem queixas no momento. Lab: HbA1c 11,7 | GJ 271 | Cr 1,0 | IMC: 42,9. MUC: MTF 850mg 12/12h, enalapril 10mg 12/12h, AAS 100mg/dia. Teve câncer de pele, não sabe dizer se foi melanoma. Retorno em 3 meses.</t>
  </si>
  <si>
    <t xml:space="preserve">PAC-247</t>
  </si>
  <si>
    <t xml:space="preserve">Sitagliptina 100mg 1x/dia; AAS 100mg 1x/dia</t>
  </si>
  <si>
    <t xml:space="preserve">Sra. 37 anos, portadora de DM2 há 20 anos, vem para retorno. Veio acompanhada do filho. Últimos exames: HbA1c 6,3%; glic jejum 167; creat 0,9; IMC 23,1 kg/m². Faz uso de sitagliptina 100mg/dia, AAS 100mg/dia. Nega neoplasias. G2P2 (2 cesáreas).</t>
  </si>
  <si>
    <t xml:space="preserve">PAC-248</t>
  </si>
  <si>
    <t xml:space="preserve">Losartana 50mg 1x/dia; Atorvastatina 20mg 1x/dia; AAS 100mg 1x/dia</t>
  </si>
  <si>
    <t xml:space="preserve">Paciente do sexo feminino, 34 anos, em acompanhamento ambulatorial por diabetes mellitus tipo 2, com HAS, dislipidemia, obesidade. Nega poliúria ou polidipsia. Exames recentes: HbA1c de 7,1%, glicemia de jejum de 156 mg/dL e creatinina 1,3 mg/dL. Em uso de losartana 50mg 1x/dia, atorvastatina 20mg/dia, AAS 100mg/dia. Prescrita metformina 500mg na última consulta; refere que ainda não iniciou. G1P1, filho de 6 anos.</t>
  </si>
  <si>
    <t xml:space="preserve">PAC-249</t>
  </si>
  <si>
    <t xml:space="preserve">Sitagliptina 100mg 1x/dia; Enalapril 10mg 2x/dia; Levotiroxina 50mcg 1x/dia</t>
  </si>
  <si>
    <t xml:space="preserve">Paciente do sexo masculino, 82 anos, em acompanhamento ambulatorial por diabetes mellitus tipo 2, com HAS, IRC, obesidade. Exames recentes: HbA1c de 9,3%, glicemia de jejum de 234 mg/dL e creatinina 2,4 mg/dL; IMC de 41,9 kg/m². Em uso de sitagliptina 100mg/dia, enalapril 10mg 12/12h, levotiroxina 50mcg em jejum. Trocamos metformina por sitagliptina há 4 meses. Diagnóstico recente de Ca colorretal, iniciou QT há 3 semanas.</t>
  </si>
  <si>
    <t xml:space="preserve">PAC-250</t>
  </si>
  <si>
    <t xml:space="preserve">DM2; IRC</t>
  </si>
  <si>
    <t xml:space="preserve">Metformina 850mg 2x/dia</t>
  </si>
  <si>
    <t xml:space="preserve">Paciente do sexo masculino, 45 anos, em acompanhamento ambulatorial por diabetes mellitus tipo 2, com IRC. Exames recentes: HbA1c de 8,8%, glicemia de jejum 229 mg/dL e creatinina 1,9 mg/dL; IMC de 28,1 kg/m². Consta prescrição de MTF 850mg 12/12h; paciente confuso quanto ao uso, trará as caixas no retorno. Retorno em 3 meses.</t>
  </si>
  <si>
    <t xml:space="preserve">PAC-251</t>
  </si>
  <si>
    <t xml:space="preserve">Pcte F, 53 anos, portadora de DM2 há 7 anos, obesidade, vem para retorno. Queixa-se de poliúria e cansaço. Últimos exames: HbA1c 11,7%; glic jejum 256; creat 0,8; IMC 30,8 kg/m². Faz uso de metfromina 500mg 3x/dia. Hx de Ca de tireoide operado em 2015, sem evidência de doença desde então.</t>
  </si>
  <si>
    <t xml:space="preserve">PAC-252</t>
  </si>
  <si>
    <t xml:space="preserve">Metformina 1g 2x/dia; Anlodipino 5mg 1x/dia</t>
  </si>
  <si>
    <t xml:space="preserve">Fem, 35a, DM2 + HAS + Obesidade. Sem queixas no momento. Lab: HbA1c 11,2 | GJ 268 | Cr 0,7 | IMC 33,1. MUC: MTF 1g 12/12h, anlodipino 5mg/dia. Pai faleceu de Ca de próstata. G3P2A1.</t>
  </si>
  <si>
    <t xml:space="preserve">PAC-253</t>
  </si>
  <si>
    <t xml:space="preserve">DM2; Dislipidemia</t>
  </si>
  <si>
    <t xml:space="preserve">Fem, 57a, DM2 + Dislipidemia. Sem queixas no momento. Lab: HbA1c 7,9 | glicemia jejum 229 | Cr 1,1 | IMC 28,2. MUC: sitagliptina 100mg/dia, atorvastatina 20mg/dia. Orientado dieta e atividade física.</t>
  </si>
  <si>
    <t xml:space="preserve">PAC-254</t>
  </si>
  <si>
    <t xml:space="preserve">Metformina 1g 2x/dia; Losartana 50mg 1x/dia</t>
  </si>
  <si>
    <t xml:space="preserve">Paciente do sexo masculino, 59 anos, em acompanhamento ambulatorial por diabetes mellitus tipo 2, com HAS. Sem queixas no momento. Exames recentes: HbA1c de 6,9%, glicemia de jejum 135 mg/dL e creatinina 1,0 mg/dL; IMC de 25,6 kg/m². Em uso de MTF 1g 12/12h, losartana 50mg 1x/dia. Pai faleceu de Ca de próstata.</t>
  </si>
  <si>
    <t xml:space="preserve">PAC-255</t>
  </si>
  <si>
    <t xml:space="preserve">Metformina XR 1g 1x/dia; Enalapril 10mg 2x/dia</t>
  </si>
  <si>
    <t xml:space="preserve">Paciente do sexo masculino, 82 anos, em acompanhamento ambulatorial por diabetes mellitus tipo 2, com HAS. Exames recentes: HbA1c de 9,3%, glicemia de jejum 199 mg/dL e creatinina 0,9 mg/dL; IMC de 24,9 kg/m². Em uso de MTF XR 1g 1x/d, enalapril 10mg 12/12h. Acompanhou com a oncologia no passado; não sabe se ainda tem retorno marcado. Reforçada orientação sobre hipoglicemia.</t>
  </si>
  <si>
    <t xml:space="preserve">PAC-256</t>
  </si>
  <si>
    <t xml:space="preserve">Paciente do sexo masculino, 73 anos, em acompanhamento ambulatorial por diabetes mellitus tipo 2, com HAS, obesidade. Nega poliúria ou polidipsia. Exames recentes: HbA1c de 11,0%, glicemia de jejum de 265 mg/dL e creatinina 1,2 mg/dL; IMC de 35,7 kg/m². Em uso de sitagliptina 100mg/dia, anlodipino 5mg/dia.</t>
  </si>
  <si>
    <t xml:space="preserve">PAC-257</t>
  </si>
  <si>
    <t xml:space="preserve">Pcte F, 62 anos, portadora de DM2 há 15 anos, HAS, obesidade, vem para retorno. Nega poliúria ou polidipsia. Últimos exames: HbA1c 9,9%; glic jejum 215; creat 1,2; IMC 32,3 kg/m². Faz uso de metfomina 1g 12/12h, losartana 50mg 1x/dia. Linfoma tratado na juventude, curado, sem seguimento oncológico há mais de 10 anos. Orientado dieta e atividade física.</t>
  </si>
  <si>
    <t xml:space="preserve">PAC-258</t>
  </si>
  <si>
    <t xml:space="preserve">Paciente do sexo feminino, 69 anos, em acompanhamento ambulatorial por diabetes mellitus tipo 2, com obesidade. Relata episódios de hipoglicemia leve pela manhã. Exames recentes: HbA1c de 7,5% e creatinina 1,2 mg/dL; IMC de 40,4 kg/m². Em uso de MTF XR 1g 1x/d. Orientado dieta e atividade física.</t>
  </si>
  <si>
    <t xml:space="preserve">PAC-259</t>
  </si>
  <si>
    <t xml:space="preserve">Enalapril 10mg 2x/dia; Sinvastatina 20mg à noite</t>
  </si>
  <si>
    <t xml:space="preserve">Paciente do sexo masculino, 81 anos, em acompanhamento ambulatorial por diabetes mellitus tipo 2, com HAS, dislipidemia, obesidade. Refere boa adesão à dieta nas últimas semanas. Exames recentes: HbA1c de 10,8%, glicemia de jejum 262 mg/dL e creatinina 1,3 mg/dL; IMC de 37,5 kg/m². Em uso de enalapril 10mg 12/12h, sinvastatina 20mg à noite. Prescrita metformina 500mg na última consulta; refere que ainda não iniciou. Nega neoplasias.</t>
  </si>
  <si>
    <t xml:space="preserve">PAC-260</t>
  </si>
  <si>
    <t xml:space="preserve">Gliclazida MR 60mg 1x/dia; Atorvastatina 20mg 1x/dia</t>
  </si>
  <si>
    <t xml:space="preserve">Masc, 46a, DM2 + Dislipidemia. Lab: HbA1c 9,2 | glicemai de jejum 184 | creat 1,2 | IMC 29,0. MUC: gliclazida MR 60mg pela manhã, atorvastatina 20mg/dia.</t>
  </si>
  <si>
    <t xml:space="preserve">PAC-261</t>
  </si>
  <si>
    <t xml:space="preserve">Gliclazida MR 60mg 1x/dia; Losartana 50mg 1x/dia</t>
  </si>
  <si>
    <t xml:space="preserve">Paciente do sexo feminino, 69 anos, em acompanhamento ambulatorial por diabetes mellitus tipo 2, com HAS, IRC, obesidade. Exames recentes: HbA1c de 9,6%, glicemia de jejum 199 mg/dL e creatinina 1,9 mg/dL; IMC de 31,8 kg/m². Em uso de gliclazida MR 60mg pela manhã, losartana 50mg 1x/dia. Metformina suspensa há 2 meses por intolerância gastrointestinal.</t>
  </si>
  <si>
    <t xml:space="preserve">PAC-262</t>
  </si>
  <si>
    <t xml:space="preserve">Empagliflozina 25mg 1x/dia; Atorvastatina 20mg 1x/dia</t>
  </si>
  <si>
    <t xml:space="preserve">Masc, 45a, DM2 + Dislipidemia + Obesidade. Refere dificuldade em seguir a dieta. Lab: HbA1c 7,1 | glicemia jejum 172 | IMC: 33,0. MUC: empagliflozina 25mg/dia, atorvastatina 20mg/dia.</t>
  </si>
  <si>
    <t xml:space="preserve">PAC-263</t>
  </si>
  <si>
    <t xml:space="preserve">Metformina 500mg 3x/dia; Losartana 50mg 1x/dia; Sinvastatina 20mg à noite</t>
  </si>
  <si>
    <t xml:space="preserve">Paciente do sexo masculino, 42 anos, em acompanhamento ambulatorial por diabetes mellitus tipo 2, com HAS, dislipidemia. Refere boa adesão à dieta nas últimas semanas. Exames recentes: HbA1c de 8,5%, glicemia de jejum de 171 mg/dL e creatinina 1,2 mg/dL; IMC de 23,2 kg/m². Nega neoplasias. Encaminho para nutrição.</t>
  </si>
  <si>
    <t xml:space="preserve">PAC-264</t>
  </si>
  <si>
    <t xml:space="preserve">Sra. 36 anos, portadora de DM2 há 11 anos, HAS, obesidade, vem para retorno. Veio acompanhada do filho. Últimos exames: A1c 6,2%; glic jejum 129; creat 1,1; IMC 35,5 kg/m². Faz uso de MTF 850mg 12/12h, HCTZ 25mg 1x/dia. Suspeita de gestação, aguardando beta-HCG.</t>
  </si>
  <si>
    <t xml:space="preserve">PAC-265</t>
  </si>
  <si>
    <t xml:space="preserve">Metformina XR 1g 1x/dia; Losartana 50mg 1x/dia; Atorvastatina 20mg 1x/dia</t>
  </si>
  <si>
    <t xml:space="preserve">Pcte M, 58 anos, portador de DM2 há 6 anos, HAS, dislipidemia, vem para retorno. Relata episódios de hipoglicemia leve pela manhã. Últimos exames: HbA1c 9,9%; glic jejum 230; IMC 28,5 kg/m². Faz uso de MTF XR 1g 1x/d, losartana 50mg 1x/dia, atorvastatina 20mg/dia.</t>
  </si>
  <si>
    <t xml:space="preserve">PAC-266</t>
  </si>
  <si>
    <t xml:space="preserve">Empagliflozina 25mg 1x/dia; Hidroclorotiazida 25mg 1x/dia</t>
  </si>
  <si>
    <t xml:space="preserve">Sr. 58 anos, portador de DM2 há 14 anos, HAS, obesidade, vem para retorno. Refere dificuldade em seguir a dieta. Últimos exames: HbA1c 7,6%; glic jejum 152; creat 1,2; IMC 41,2 kg/m². Faz uso de empagliflozina 25mg/dia, HCTZ 25mg 1x/dia. Metformina suspensa há 2 meses por intolerância gastrointestinal. Sem Ca.</t>
  </si>
  <si>
    <t xml:space="preserve">PAC-267</t>
  </si>
  <si>
    <t xml:space="preserve">Metformina 1g 2x/dia; Anlodipino 5mg 1x/dia; Levotiroxina 50mcg 1x/dia</t>
  </si>
  <si>
    <t xml:space="preserve">Paciente do sexo feminino, 48 anos, em acompanhamento ambulatorial por diabetes mellitus tipo 2, com HAS. Exames recentes: HbA1c de 10,6%, glicemia de jejum 247 mg/dL e creatinina 1,2 mg/dL; IMC de 22,4 kg/m². Em uso de MTF 1g 12/12h, anlodipino 5mg/dia, levotiroxina 50mcg em jejum. Em QT adjuvante para Ca de mama, ciclo 4 de 6.</t>
  </si>
  <si>
    <t xml:space="preserve">PAC-268</t>
  </si>
  <si>
    <t xml:space="preserve">Metformina 850mg 2x/dia; Atorvastatina 20mg 1x/dia</t>
  </si>
  <si>
    <t xml:space="preserve">Masc, 73a, DM2 + IRC + Dislipidemia. Nega poliúria ou polidipsia. Lab: HbA1c 8,2 | glicemai de jejum 181 | creat 1,7 | IMC 25,0. MUC: metformina 850mg 2x/dia, atorvastatina 20mg/dia. Histórico familiar de câncer de cólon (avô).</t>
  </si>
  <si>
    <t xml:space="preserve">PAC-269</t>
  </si>
  <si>
    <t xml:space="preserve">Metformina 850mg 2x/dia; Sinvastatina 20mg à noite; AAS 100mg 1x/dia</t>
  </si>
  <si>
    <t xml:space="preserve">Pcte M, 43 anos, portador de DM2 há 9 anos, dislipidemia, vem para retorno. Veio acompanhado do filho. Últimos exames: HbA1c 9,4%; glic jejum 212; creat 0,6; IMC 24,1 kg/m². Faz uso de metformia 850 mg de 12/12h, sinvastatina 20mg à noite, AAS 100mg/dia. Histórico familiar de câncer de cólon (avô). Reforçada orientação sobre hipoglicemia.</t>
  </si>
  <si>
    <t xml:space="preserve">PAC-270</t>
  </si>
  <si>
    <t xml:space="preserve">Metformina XR 1g 1x/dia; Sinvastatina 20mg à noite</t>
  </si>
  <si>
    <t xml:space="preserve">Paciente do sexo feminino, 20 anos, em acompanhamento ambulatorial por diabetes mellitus tipo 2, com dislipidemia. Exames recentes: HbA1c de 10,7%, glicemia de jejum 256 mg/dL e creatinina 0,7 mg/dL; IMC de 26,0 kg/m². Em uso de metformina XR 1g à noite, sinvastatina 20mg à noite. Beta-HCG negativo colhido na semana passada. Orientado dieta e atividade física.</t>
  </si>
  <si>
    <t xml:space="preserve">PAC-271</t>
  </si>
  <si>
    <t xml:space="preserve">Metformina 1g 2x/dia; Anlodipino 5mg 1x/dia; Atorvastatina 20mg 1x/dia</t>
  </si>
  <si>
    <t xml:space="preserve">Paciente do sexo masculino, 55 anos, em acompanhamento ambulatorial por diabetes mellitus tipo 2, com HAS, dislipidemia, obesidade. Relata episódios de hipoglicemia leve pela manhã. Exames recentes: HbA1c de 11,3%, glicemia de jejum de 290 mg/dL e creatinina 0,9 mg/dL; IMC de 34,5 kg/m². Em uso de metformina 1g 2x/dia, anlodipino 5mg/dia, atorvastatina 20mg/dia. Linfoma em atividade, em QT no hospital de referência.</t>
  </si>
  <si>
    <t xml:space="preserve">PAC-272</t>
  </si>
  <si>
    <t xml:space="preserve">Fem, 41a, DM2 + HAS + Dislipidemia. Veio acompanhada do filho. Lab: HbA1c 11,0 | GJ 270 | creat 1,0 | IMC: 26,6. MUC: metfomina 1g 12/12h, anlodipino 5mg/dia, atorvastatina 20mg/dia. Orientado dieta e atividade física.</t>
  </si>
  <si>
    <t xml:space="preserve">PAC-273</t>
  </si>
  <si>
    <t xml:space="preserve">Metformina 500mg 3x/dia; Enalapril 10mg 2x/dia; Atorvastatina 20mg 1x/dia</t>
  </si>
  <si>
    <t xml:space="preserve">Paciente do sexo masculino, 59 anos, em acompanhamento ambulatorial por diabetes mellitus tipo 2, com HAS, dislipidemia, obesidade. Refere dificuldade em seguir a dieta. Exames recentes: HbA1c de 8,9%, glicemia de jejum de 168 mg/dL e creatinina 1,1 mg/dL; IMC de 38,0 kg/m². Em uso de metformina 500mg 3x/dia, enalapril 10mg 12/12h, atorvastatina 20mg/dia.</t>
  </si>
  <si>
    <t xml:space="preserve">PAC-274</t>
  </si>
  <si>
    <t xml:space="preserve">Metformina 1g 2x/dia; Atorvastatina 20mg 1x/dia</t>
  </si>
  <si>
    <t xml:space="preserve">Pcte F, 74 anos, portadora de DM2 há 14 anos, dislipidemia, vem para retorno. Veio acompanhada do filho. Últimos exames: HbA1c 10,9%; glic jejum 271; creat 0,8; IMC 23,4 kg/m². Faz uso de MTF 1g 12/12h, atorvastatina 20mg/dia. Encaminho para nutrição.</t>
  </si>
  <si>
    <t xml:space="preserve">PAC-275</t>
  </si>
  <si>
    <t xml:space="preserve">Fem, 76a, DM2 + HAS. Lab: glicemia jejum 131 | creat 1,3 | IMC: 23,7. MUC: MTF 850mg 12/12h, anlodipino 5mg/dia. Reforçada orientação sobre hipoglicemia.</t>
  </si>
  <si>
    <t xml:space="preserve">PAC-276</t>
  </si>
  <si>
    <t xml:space="preserve">Paciente do sexo masculino, 57 anos, em acompanhamento ambulatorial por diabetes mellitus tipo 2, com obesidade. Assintomático, sem hipoglicemias. Exames recentes: HbA1c de 9,8%, glicemia de jejum 207 mg/dL e creatinina 1,1 mg/dL; IMC de 42,5 kg/m². Em uso de MTF 1g 12/12h. Encaminho para nutrição.</t>
  </si>
  <si>
    <t xml:space="preserve">PAC-277</t>
  </si>
  <si>
    <t xml:space="preserve">Sitagliptina 100mg 1x/dia</t>
  </si>
  <si>
    <t xml:space="preserve">Sra. 66 anos, portadora de DM2 há 4 anos, vem para retorno. Sem queixas no momento. Últimos exames: HbA1c 10,6%; glic jejum 229; creat 0,6; IMC 28,8 kg/m². Linfoma tratado na juventude, curado, sem seguimento oncológico há mais de 10 anos.</t>
  </si>
  <si>
    <t xml:space="preserve">PAC-278</t>
  </si>
  <si>
    <t xml:space="preserve">DM2; HAS; IRC</t>
  </si>
  <si>
    <t xml:space="preserve">Fem, 28a, DM2 + HAS + IRC. Lab: HbA1c 10,7 | glicemia jejum 252 | creat 2,1 | IMC 22,0. MUC: HCTZ 25mg 1x/dia. Consta prescrição de MTF 850mg 12/12h; paciente confusa quanto ao uso, trará as caixas no retorno. Pai faleceu de Ca de próstata. Beta-HCG negativo colhido na semana passada.</t>
  </si>
  <si>
    <t xml:space="preserve">PAC-279</t>
  </si>
  <si>
    <t xml:space="preserve">Paciente do sexo masculino, 70 anos, em acompanhamento ambulatorial por diabetes mellitus tipo 2. Assintomático, sem hipoglicemias. Exames recentes: HbA1c de 9,3% e glicemia de jejum 203 mg/dL; IMC de 29,4 kg/m². Em uso de insulina NPH 20UI ao deitar. Sem uso prévio de MTF. Histórico familiar de câncer de cólon (avô).</t>
  </si>
  <si>
    <t xml:space="preserve">PAC-280</t>
  </si>
  <si>
    <t xml:space="preserve">Pcte M, 57 anos, portador de DM2 há 11 anos, HAS, vem para retorno. Queixa-se de poliúria e cansaço. Últimos exames: A1c 7,7%; glic jejum 163; creat 0,6; IMC 26,0 kg/m². Faz uso de MTF 850mg 12/12h, anlodipino 5mg/dia. Reforçada orientação sobre hipoglicemia.</t>
  </si>
  <si>
    <t xml:space="preserve">PAC-281</t>
  </si>
  <si>
    <t xml:space="preserve">Insulina NPH 20UI à noite; Enalapril 10mg 2x/dia; AAS 100mg 1x/dia</t>
  </si>
  <si>
    <t xml:space="preserve">Pcte F, 31 anos, portadora de DM2 há 10 anos, HAS, vem para retorno. Queixa-se de poliúria e cansaço. Últimos exames: HbA1c 11,2%; glic jejum 246; creat 1,0; IMC 22,2 kg/m². Faz uso de insulina NPH 20UI ao deitar, enalapril 10mg 12/12h, AAS 100mg/dia. MTF suspensa pela nefrologia após piora da função renal. Suspeita de gestação, aguardando beta-HCG.</t>
  </si>
  <si>
    <t xml:space="preserve">PAC-282</t>
  </si>
  <si>
    <t xml:space="preserve">Paciente do sexo feminino, 72 anos, em acompanhamento ambulatorial por diabetes mellitus tipo 2. Assintomática, sem hipoglicemias. Exames recentes: glicemia de jejum 146 mg/dL e creatinina 0,6 mg/dL; IMC de 23,3 kg/m². Em uso de metformina 1g 2x/dia. Sem antecedentes oncológicos. Mantida conduta.</t>
  </si>
  <si>
    <t xml:space="preserve">PAC-283</t>
  </si>
  <si>
    <t xml:space="preserve">Fem, 40a, DM2 + Obesidade. Sem queixas no momento. Lab: HbA1c 11,3 | GJ 262 | Cr 1,2 | IMC 37,2. MUC: metformina XR 1g à noite. Diagnóstico recente de Ca colorretal, iniciou QT há 3 semanas. Encaminho para nutrição.</t>
  </si>
  <si>
    <t xml:space="preserve">PAC-284</t>
  </si>
  <si>
    <t xml:space="preserve">Sitagliptina 100mg 1x/dia; Losartana 50mg 1x/dia; Sinvastatina 20mg à noite</t>
  </si>
  <si>
    <t xml:space="preserve">Masc, 40a, DM2 + HAS + Dislipidemia + Obesidade. Relata episódios de hipoglicemia leve pela manhã. Lab: HbA1c 8,6 | GJ 185 | creat 1,1 | IMC 38,5. MUC: sitagliptina 100mg/dia, losartana 50mg 1x/dia, sinvastatina 20mg à noite.</t>
  </si>
  <si>
    <t xml:space="preserve">PAC-285</t>
  </si>
  <si>
    <t xml:space="preserve">Sra. 54 anos, portadora de DM2 há 11 anos, HAS, obesidade, vem para retorno. Últimos exames: A1c 8,0%; glic jejum 169; creat 1,0; IMC 36,7 kg/m². Faz uso de sitagliptina 100mg/dia, HCTZ 25mg 1x/dia. Antecedente de Ca de mama.</t>
  </si>
  <si>
    <t xml:space="preserve">PAC-286</t>
  </si>
  <si>
    <t xml:space="preserve">Metformina 500mg 3x/dia; Losartana 50mg 1x/dia</t>
  </si>
  <si>
    <t xml:space="preserve">Paciente do sexo feminino, 77 anos, em acompanhamento ambulatorial por diabetes mellitus tipo 2, com HAS. Assintomática, sem hipoglicemias. Exames recentes: HbA1c de 8,6%, glicemia de jejum de 231 mg/dL e creatinina 1,0 mg/dL; IMC de 24,2 kg/m². Em uso de MTF 500mg 8/8h, losartana 50mg 1x/dia. Refere 'tumor no intestino' operado, não sabe informar detalhes.</t>
  </si>
  <si>
    <t xml:space="preserve">PAC-287</t>
  </si>
  <si>
    <t xml:space="preserve">Metformina XR 1g 1x/dia; Hidroclorotiazida 25mg 1x/dia; Sinvastatina 20mg à noite</t>
  </si>
  <si>
    <t xml:space="preserve">Masc, 45a, DM2 + HAS + Dislipidemia + Obesidade. Nega poliúria ou polidipsia. Lab: HbA1c 6,7 | glicemia jejum 146 | Cr 0,9 | IMC: 34,7. MUC: MTF XR 1g 1x/d, HCTZ 25mg 1x/dia, sinvastatina 20mg à noite. Antecedente de Ca de próstata.</t>
  </si>
  <si>
    <t xml:space="preserve">PAC-288</t>
  </si>
  <si>
    <t xml:space="preserve">Fem, 62a, DM2 + HAS. Queixa-se de poliúria e cansaço. Lab: HbA1c 10,8 | GJ 258 | creat 1,2 | IMC 25,3. MUC: metformina 500mg 3x/dia, HCTZ 25mg 1x/dia. Encaminho para nutrição.</t>
  </si>
  <si>
    <t xml:space="preserve">PAC-289</t>
  </si>
  <si>
    <t xml:space="preserve">Fem, 55a, DM2 + HAS + Dislipidemia + Obesidade. Refere dificuldade em seguir a dieta. Lab: HbA1c 11,8 | GJ 278 | creat 0,7 | IMC: 33,2. MUC: MTF 500mg 8/8h, losartana 50mg 1x/dia, sinvastatina 20mg à noite.</t>
  </si>
  <si>
    <t xml:space="preserve">PAC-290</t>
  </si>
  <si>
    <t xml:space="preserve">Fem, 60a, DM2 + HAS. Lab: HbA1c 8,0 | glicemai de jejum 171 | Cr 0,7 | IMC 26,0. MUC: gliclazida MR 60mg pela manhã, HCTZ 25mg 1x/dia. Metformina suspensa desde a última internação. Mantida conduta.</t>
  </si>
  <si>
    <t xml:space="preserve">PAC-291</t>
  </si>
  <si>
    <t xml:space="preserve">Metformina XR 1g 1x/dia; Insulina NPH 20UI à noite</t>
  </si>
  <si>
    <t xml:space="preserve">Paciente do sexo feminino, 41 anos, em acompanhamento ambulatorial por diabetes mellitus tipo 2. Refere dificuldade em seguir a dieta. Exames recentes: HbA1c de 11,2%, glicemia de jejum 266 mg/dL e creatinina 0,7 mg/dL; IMC de 26,5 kg/m². Em uso de metformina XR 1g à noite, insulina NPH 20UI ao deitar. Gestação de 12 semanas confirmada por USG.</t>
  </si>
  <si>
    <t xml:space="preserve">PAC-292</t>
  </si>
  <si>
    <t xml:space="preserve">Metformina 500mg 3x/dia; Atorvastatina 20mg 1x/dia</t>
  </si>
  <si>
    <t xml:space="preserve">Sra. 42 anos, portadora de DM2 há 3 anos, dislipidemia, vem para retorno. Últimos exames: A1c 7,3%; glic jejum 165; creat 0,9; IMC 22,4 kg/m². Faz uso de metformina 500mg 3x/dia, atorvastatina 20mg/dia. Suspeita de gestação, aguardando beta-HCG. Solicito fundo de olho e microalbuminúria.</t>
  </si>
  <si>
    <t xml:space="preserve">PAC-293</t>
  </si>
  <si>
    <t xml:space="preserve">DM2; HAS; IRC; Dislipidemia; Obesidade</t>
  </si>
  <si>
    <t xml:space="preserve">Metformina 850mg 2x/dia; Enalapril 10mg 2x/dia; Sinvastatina 20mg à noite</t>
  </si>
  <si>
    <t xml:space="preserve">Fem, 40a, DM2 + HAS + IRC + Dislipidemia + Obesidade. Lab: HbA1c 12,0 | GJ 292 | Cr 2,3 | IMC: 39,6. MUC: metformina 850 mg de 12/12h, enalapril 10mg 12/12h, sinvastatina 20mg à noite. Mãe tratou Ca de útero. Não gestante, em uso de ACO.</t>
  </si>
  <si>
    <t xml:space="preserve">PAC-294</t>
  </si>
  <si>
    <t xml:space="preserve">Gliclazida MR 60mg 1x/dia; Enalapril 10mg 2x/dia; Levotiroxina 50mcg 1x/dia</t>
  </si>
  <si>
    <t xml:space="preserve">Pcte F, 35 anos, portadora de DM2 há 12 anos, HAS, IRC, vem para retorno. Últimos exames: HbA1c 9,9%; glic jejum 194; creat 2,0; IMC 26,9 kg/m². Faz uso de gliclazida MR 60mg pela manhã, enalapril 10mg 12/12h, levotiroxina 50mcg em jejum. Metformina suspensa desde a última internação. Mãe tratou Ca de útero. Suspeita de gestação, aguardando beta-HCG.</t>
  </si>
  <si>
    <t xml:space="preserve">PAC-295</t>
  </si>
  <si>
    <t xml:space="preserve">Metformina XR 1g 1x/dia; Hidroclorotiazida 25mg 1x/dia; Atorvastatina 20mg 1x/dia; Levotiroxina 50mcg 1x/dia</t>
  </si>
  <si>
    <t xml:space="preserve">Fem, 44a, DM2 + HAS + Dislipidemia + Obesidade. Lab: HbA1c 11,8 | glicemai de jejum 289 | creat 1,1 | IMC 30,1. MUC: MTF XR 1g 1x/d, HCTZ 25mg 1x/dia, atorvastatina 20mg/dia, levotiroxina 50mcg em jejum. G1P1, filho de 6 anos.</t>
  </si>
  <si>
    <t xml:space="preserve">PAC-296</t>
  </si>
  <si>
    <t xml:space="preserve">Gliclazida MR 60mg 1x/dia; Anlodipino 5mg 1x/dia; AAS 100mg 1x/dia</t>
  </si>
  <si>
    <t xml:space="preserve">Pcte F, 46 anos, portadora de DM2 há 4 anos, HAS, vem para retorno. Veio acompanhada do filho. Últimos exames: A1c 7,0%; glic jejum 155; creat 1,2; IMC 22,0 kg/m². Faz uso de gliclazida MR 60mg pela manhã, anlodipino 5mg/dia, AAS 100mg/dia. Retorno em 3 meses.</t>
  </si>
  <si>
    <t xml:space="preserve">PAC-297</t>
  </si>
  <si>
    <t xml:space="preserve">Insulina NPH 20UI à noite; Atorvastatina 20mg 1x/dia</t>
  </si>
  <si>
    <t xml:space="preserve">Masc, 64a, DM2 + IRC + Dislipidemia. Nega poliúria ou polidipsia. Lab: HbA1c 6,7 | GJ 141 | creat 2,0 | IMC 21,6. MUC: insulina NPH 20UI ao deitar, atorvastatina 20mg/dia. Suspendeu metformina por conta própria há 3 meses (diarreia).</t>
  </si>
  <si>
    <t xml:space="preserve">PAC-298</t>
  </si>
  <si>
    <t xml:space="preserve">Sr. 79 anos, portador de DM2 há 12 anos, dislipidemia, vem para retorno. Sem queixas no momento. Últimos exames: HbA1c 9,1%; glic jejum 215; creat 0,9; IMC 28,4 kg/m². Faz uso de insulina NPH 20UI ao deitar, atorvastatina 20mg/dia. Trocamos metformina por insulina NPH há 4 meses. Sem antecedentes oncológicos.</t>
  </si>
  <si>
    <t xml:space="preserve">PAC-299</t>
  </si>
  <si>
    <t xml:space="preserve">Fem, 57a, DM2 + Dislipidemia + Obesidade. Refere boa adesão à dieta nas últimas semanas. Lab: HbA1c 8,3 | glicemai de jejum 169 | creat 0,9 | IMC 30,4. MUC: metformina 850 mg de 12/12h, atorvastatina 20mg/dia. Retorno em 3 meses.</t>
  </si>
  <si>
    <t xml:space="preserve">PAC-300</t>
  </si>
  <si>
    <t xml:space="preserve">Paciente do sexo feminino, 36 anos, em acompanhamento ambulatorial por diabetes mellitus tipo 2, com HAS, obesidade. Assintomática, sem hipoglicemias. Exames recentes: HbA1c de 8,3%, glicemia de jejum 156 mg/dL e creatinina 0,8 mg/dL; IMC de 34,9 kg/m². Em uso de empagliflozina 25mg/dia, HCTZ 25mg 1x/dia. Sem uso prévio de MTF. G1P1, filho de 6 anos.</t>
  </si>
  <si>
    <t xml:space="preserve">CLINIA — Base de teste com 100 pacientes FICTÍCIOS (PAC-201 a PAC-300)</t>
  </si>
  <si>
    <t xml:space="preserve">Nenhum dado real: sem nomes, CPF, telefone ou endereço. Valores clínicos e textos gerados para teste do sistema de triagem.</t>
  </si>
  <si>
    <t xml:space="preserve">Abas</t>
  </si>
  <si>
    <t xml:space="preserve">pacientes: as 15 colunas pedidas, na ordem pedida. Colunas gab_* em amarelo = gabarito.</t>
  </si>
  <si>
    <t xml:space="preserve">tipos_de_caso: qual caso difícil cada paciente representa e qual valor foi omitido do texto (uso interno, para análise de erros).</t>
  </si>
  <si>
    <t xml:space="preserve">Gabarito (o que um leitor humano conclui SÓ lendo anotacao_medica)</t>
  </si>
  <si>
    <t xml:space="preserve">afirmado = o texto diz que existe hoje (neoplasia ativa, gestação atual, metformina em uso).</t>
  </si>
  <si>
    <t xml:space="preserve">negado = o texto diz que não existe hoje ("nega neoplasia", "beta-HCG negativo", neoplasia em remissão, metformina suspensa/trocada/não iniciada).</t>
  </si>
  <si>
    <t xml:space="preserve">nao_mencionado = o texto não fala do paciente sobre isso (inclui doença de familiar e histórico obstétrico G2P2 sem gestação atual).</t>
  </si>
  <si>
    <t xml:space="preserve">incerto = suspeita, aguardando exame, ou não dá para saber se é atual (histórico de neoplasia sem status; receita de metformina sem saber se toma).</t>
  </si>
  <si>
    <t xml:space="preserve">Decisões de rotulagem a revisar com a equipe clínica</t>
  </si>
  <si>
    <t xml:space="preserve">1. Neoplasia em remissão/curada = negado (não está ativa).</t>
  </si>
  <si>
    <t xml:space="preserve">2. G2P2 sem menção à gestação atual = nao_mencionado (o texto não diz se está grávida agora).</t>
  </si>
  <si>
    <t xml:space="preserve">3. Metformina prescrita e não iniciada = negado (não está em uso hoje).</t>
  </si>
  <si>
    <t xml:space="preserve">4. neoplasia_ativa e gestacao (Sim/Não) ficam Não quando o texto é incerto (suspeita de gestação, histórico sem status).</t>
  </si>
  <si>
    <t xml:space="preserve">5. Quando o medicamento foi omitido do texto, gab_metformina = nao_mencionado mesmo com metformina na coluna medicamentos.</t>
  </si>
  <si>
    <t xml:space="preserve">Contagem de casos difíceis (fórmulas sobre a aba tipos_de_caso)</t>
  </si>
  <si>
    <t xml:space="preserve">Caso difícil</t>
  </si>
  <si>
    <t xml:space="preserve">Pacientes</t>
  </si>
  <si>
    <t xml:space="preserve">Neoplasia: negação explícita (nega neoplasia, sem Ca)</t>
  </si>
  <si>
    <t xml:space="preserve">Neoplasia: passada em remissão/curada</t>
  </si>
  <si>
    <t xml:space="preserve">Neoplasia: em tratamento atual (QT/RT)</t>
  </si>
  <si>
    <t xml:space="preserve">Neoplasia: histórico sem dizer se está ativa</t>
  </si>
  <si>
    <t xml:space="preserve">Neoplasia: doença de familiar (não do paciente)</t>
  </si>
  <si>
    <t xml:space="preserve">Gestação: beta-HCG negativo</t>
  </si>
  <si>
    <t xml:space="preserve">Gestação: nega gestação</t>
  </si>
  <si>
    <t xml:space="preserve">Gestação: suspeita aguardando exame</t>
  </si>
  <si>
    <t xml:space="preserve">Gestação: histórico obstétrico (G2P2) sem gestação atual</t>
  </si>
  <si>
    <t xml:space="preserve">Gestação: gestante confirmada</t>
  </si>
  <si>
    <t xml:space="preserve">Metformina: suspensa</t>
  </si>
  <si>
    <t xml:space="preserve">Metformina: trocada por outro medicamento</t>
  </si>
  <si>
    <t xml:space="preserve">Metformina: prescrita e não iniciada</t>
  </si>
  <si>
    <t xml:space="preserve">Metformina: receita sem saber se usa (incerto)</t>
  </si>
  <si>
    <t xml:space="preserve">Metformina: nega uso</t>
  </si>
  <si>
    <t xml:space="preserve">Metformina: em uso com erro de digitação (metfomina etc.)</t>
  </si>
  <si>
    <t xml:space="preserve">Texto com abreviações (MTF, Ca, QT, HAS, IRC, GJ...)</t>
  </si>
  <si>
    <t xml:space="preserve">Texto com erro de digitação</t>
  </si>
  <si>
    <t xml:space="preserve">Texto sem neoplasia, gestação e metformina (gabarito)</t>
  </si>
  <si>
    <t xml:space="preserve">Algum valor (idade, sexo, labs, IMC, medicamentos) fora do texto</t>
  </si>
  <si>
    <t xml:space="preserve">estilo_texto</t>
  </si>
  <si>
    <t xml:space="preserve">caso_neoplasia</t>
  </si>
  <si>
    <t xml:space="preserve">caso_gestacao</t>
  </si>
  <si>
    <t xml:space="preserve">caso_metformina</t>
  </si>
  <si>
    <t xml:space="preserve">valor_omitido_no_texto</t>
  </si>
  <si>
    <t xml:space="preserve">nao_fala_de_nenhum_dos_3</t>
  </si>
  <si>
    <t xml:space="preserve">tem_abreviacao</t>
  </si>
  <si>
    <t xml:space="preserve">tem_erro_digitacao</t>
  </si>
  <si>
    <t xml:space="preserve">formal</t>
  </si>
  <si>
    <t xml:space="preserve">REMISSAO</t>
  </si>
  <si>
    <t xml:space="preserve">NONE</t>
  </si>
  <si>
    <t xml:space="preserve">USO</t>
  </si>
  <si>
    <t xml:space="preserve">tele</t>
  </si>
  <si>
    <t xml:space="preserve">FAMILIAR</t>
  </si>
  <si>
    <t xml:space="preserve">BETA_NEG</t>
  </si>
  <si>
    <t xml:space="preserve">NEG</t>
  </si>
  <si>
    <t xml:space="preserve">HIST_OBST</t>
  </si>
  <si>
    <t xml:space="preserve">NEGA</t>
  </si>
  <si>
    <t xml:space="preserve">ATIVA</t>
  </si>
  <si>
    <t xml:space="preserve">abrev</t>
  </si>
  <si>
    <t xml:space="preserve">TROCADA</t>
  </si>
  <si>
    <t xml:space="preserve">USO (typo)</t>
  </si>
  <si>
    <t xml:space="preserve">NAO_INICIADA</t>
  </si>
  <si>
    <t xml:space="preserve">SUSPEITA</t>
  </si>
  <si>
    <t xml:space="preserve">HIST_INCERTO</t>
  </si>
  <si>
    <t xml:space="preserve">ADESAO_INCERTA</t>
  </si>
  <si>
    <t xml:space="preserve">SUSPENSA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</si>
</sst>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6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7"/>
    <col collapsed="false" customWidth="true" hidden="false" outlineLevel="0" max="9" min="9" style="1" width="4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90"/>
    <col collapsed="false" customWidth="true" hidden="false" outlineLevel="0" max="13" min="13" style="1" width="15"/>
    <col collapsed="false" customWidth="true" hidden="false" outlineLevel="0" max="14" min="14" style="1" width="14"/>
    <col collapsed="false" customWidth="true" hidden="false" outlineLevel="0" max="15" min="15" style="1" width="16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5.75" hidden="false" customHeight="true" outlineLevel="0" collapsed="false">
      <c r="A2" s="3" t="s">
        <v>15</v>
      </c>
      <c r="B2" s="3" t="n">
        <v>46</v>
      </c>
      <c r="C2" s="3" t="s">
        <v>16</v>
      </c>
      <c r="D2" s="3" t="s">
        <v>17</v>
      </c>
      <c r="E2" s="4" t="n">
        <v>9</v>
      </c>
      <c r="F2" s="4" t="n">
        <v>1.1</v>
      </c>
      <c r="G2" s="3" t="n">
        <v>185</v>
      </c>
      <c r="H2" s="4" t="n">
        <v>23.9</v>
      </c>
      <c r="I2" s="5" t="s">
        <v>18</v>
      </c>
      <c r="J2" s="3" t="s">
        <v>19</v>
      </c>
      <c r="K2" s="3" t="s">
        <v>19</v>
      </c>
      <c r="L2" s="5" t="s">
        <v>20</v>
      </c>
      <c r="M2" s="6" t="s">
        <v>21</v>
      </c>
      <c r="N2" s="6" t="s">
        <v>22</v>
      </c>
      <c r="O2" s="6" t="s">
        <v>23</v>
      </c>
    </row>
    <row r="3" customFormat="false" ht="34.5" hidden="false" customHeight="true" outlineLevel="0" collapsed="false">
      <c r="A3" s="3" t="s">
        <v>24</v>
      </c>
      <c r="B3" s="3" t="n">
        <v>76</v>
      </c>
      <c r="C3" s="3" t="s">
        <v>16</v>
      </c>
      <c r="D3" s="3" t="s">
        <v>25</v>
      </c>
      <c r="E3" s="4" t="n">
        <v>11.1</v>
      </c>
      <c r="F3" s="4" t="n">
        <v>0.9</v>
      </c>
      <c r="G3" s="3" t="n">
        <v>259</v>
      </c>
      <c r="H3" s="4" t="n">
        <v>32.3</v>
      </c>
      <c r="I3" s="5" t="s">
        <v>26</v>
      </c>
      <c r="J3" s="3" t="s">
        <v>19</v>
      </c>
      <c r="K3" s="3" t="s">
        <v>19</v>
      </c>
      <c r="L3" s="5" t="s">
        <v>27</v>
      </c>
      <c r="M3" s="6" t="s">
        <v>22</v>
      </c>
      <c r="N3" s="6" t="s">
        <v>22</v>
      </c>
      <c r="O3" s="6" t="s">
        <v>23</v>
      </c>
    </row>
    <row r="4" customFormat="false" ht="34.5" hidden="false" customHeight="true" outlineLevel="0" collapsed="false">
      <c r="A4" s="3" t="s">
        <v>28</v>
      </c>
      <c r="B4" s="3" t="n">
        <v>21</v>
      </c>
      <c r="C4" s="3" t="s">
        <v>29</v>
      </c>
      <c r="D4" s="3" t="s">
        <v>30</v>
      </c>
      <c r="E4" s="4" t="n">
        <v>9.6</v>
      </c>
      <c r="F4" s="4" t="n">
        <v>1.1</v>
      </c>
      <c r="G4" s="3" t="n">
        <v>231</v>
      </c>
      <c r="H4" s="4" t="n">
        <v>32.2</v>
      </c>
      <c r="I4" s="5" t="s">
        <v>31</v>
      </c>
      <c r="J4" s="3" t="s">
        <v>19</v>
      </c>
      <c r="K4" s="3" t="s">
        <v>19</v>
      </c>
      <c r="L4" s="5" t="s">
        <v>32</v>
      </c>
      <c r="M4" s="6" t="s">
        <v>22</v>
      </c>
      <c r="N4" s="6" t="s">
        <v>21</v>
      </c>
      <c r="O4" s="6" t="s">
        <v>23</v>
      </c>
    </row>
    <row r="5" customFormat="false" ht="34.5" hidden="false" customHeight="true" outlineLevel="0" collapsed="false">
      <c r="A5" s="3" t="s">
        <v>33</v>
      </c>
      <c r="B5" s="3" t="n">
        <v>33</v>
      </c>
      <c r="C5" s="3" t="s">
        <v>29</v>
      </c>
      <c r="D5" s="3" t="s">
        <v>30</v>
      </c>
      <c r="E5" s="4" t="n">
        <v>11.9</v>
      </c>
      <c r="F5" s="4" t="n">
        <v>1.2</v>
      </c>
      <c r="G5" s="3" t="n">
        <v>247</v>
      </c>
      <c r="H5" s="4" t="n">
        <v>42.4</v>
      </c>
      <c r="I5" s="5" t="s">
        <v>34</v>
      </c>
      <c r="J5" s="3" t="s">
        <v>19</v>
      </c>
      <c r="K5" s="3" t="s">
        <v>19</v>
      </c>
      <c r="L5" s="5" t="s">
        <v>35</v>
      </c>
      <c r="M5" s="6" t="s">
        <v>21</v>
      </c>
      <c r="N5" s="6" t="s">
        <v>22</v>
      </c>
      <c r="O5" s="6" t="s">
        <v>21</v>
      </c>
    </row>
    <row r="6" customFormat="false" ht="45.75" hidden="false" customHeight="true" outlineLevel="0" collapsed="false">
      <c r="A6" s="3" t="s">
        <v>36</v>
      </c>
      <c r="B6" s="3" t="n">
        <v>21</v>
      </c>
      <c r="C6" s="3" t="s">
        <v>29</v>
      </c>
      <c r="D6" s="3" t="s">
        <v>37</v>
      </c>
      <c r="E6" s="4" t="n">
        <v>10</v>
      </c>
      <c r="F6" s="4" t="n">
        <v>1.2</v>
      </c>
      <c r="G6" s="3" t="n">
        <v>223</v>
      </c>
      <c r="H6" s="4" t="n">
        <v>37.7</v>
      </c>
      <c r="I6" s="5" t="s">
        <v>38</v>
      </c>
      <c r="J6" s="3" t="s">
        <v>19</v>
      </c>
      <c r="K6" s="3" t="s">
        <v>39</v>
      </c>
      <c r="L6" s="5" t="s">
        <v>40</v>
      </c>
      <c r="M6" s="6" t="s">
        <v>22</v>
      </c>
      <c r="N6" s="6" t="s">
        <v>23</v>
      </c>
      <c r="O6" s="6" t="s">
        <v>21</v>
      </c>
    </row>
    <row r="7" customFormat="false" ht="34.5" hidden="false" customHeight="true" outlineLevel="0" collapsed="false">
      <c r="A7" s="3" t="s">
        <v>41</v>
      </c>
      <c r="B7" s="3" t="n">
        <v>56</v>
      </c>
      <c r="C7" s="3" t="s">
        <v>29</v>
      </c>
      <c r="D7" s="3" t="s">
        <v>25</v>
      </c>
      <c r="E7" s="4" t="n">
        <v>9.3</v>
      </c>
      <c r="F7" s="4" t="n">
        <v>1</v>
      </c>
      <c r="G7" s="3" t="n">
        <v>214</v>
      </c>
      <c r="H7" s="4" t="n">
        <v>41.4</v>
      </c>
      <c r="I7" s="5" t="s">
        <v>42</v>
      </c>
      <c r="J7" s="3" t="s">
        <v>19</v>
      </c>
      <c r="K7" s="3" t="s">
        <v>19</v>
      </c>
      <c r="L7" s="5" t="s">
        <v>43</v>
      </c>
      <c r="M7" s="6" t="s">
        <v>22</v>
      </c>
      <c r="N7" s="6" t="s">
        <v>22</v>
      </c>
      <c r="O7" s="6" t="s">
        <v>22</v>
      </c>
    </row>
    <row r="8" customFormat="false" ht="34.5" hidden="false" customHeight="true" outlineLevel="0" collapsed="false">
      <c r="A8" s="3" t="s">
        <v>44</v>
      </c>
      <c r="B8" s="3" t="n">
        <v>29</v>
      </c>
      <c r="C8" s="3" t="s">
        <v>29</v>
      </c>
      <c r="D8" s="3" t="s">
        <v>45</v>
      </c>
      <c r="E8" s="4" t="n">
        <v>7.6</v>
      </c>
      <c r="F8" s="4" t="n">
        <v>1.9</v>
      </c>
      <c r="G8" s="3" t="n">
        <v>130</v>
      </c>
      <c r="H8" s="4" t="n">
        <v>39.9</v>
      </c>
      <c r="I8" s="5" t="s">
        <v>46</v>
      </c>
      <c r="J8" s="3" t="s">
        <v>19</v>
      </c>
      <c r="K8" s="3" t="s">
        <v>19</v>
      </c>
      <c r="L8" s="5" t="s">
        <v>47</v>
      </c>
      <c r="M8" s="6" t="s">
        <v>22</v>
      </c>
      <c r="N8" s="6" t="s">
        <v>21</v>
      </c>
      <c r="O8" s="6" t="s">
        <v>22</v>
      </c>
    </row>
    <row r="9" customFormat="false" ht="23.25" hidden="false" customHeight="true" outlineLevel="0" collapsed="false">
      <c r="A9" s="3" t="s">
        <v>48</v>
      </c>
      <c r="B9" s="3" t="n">
        <v>38</v>
      </c>
      <c r="C9" s="3" t="s">
        <v>29</v>
      </c>
      <c r="D9" s="3" t="s">
        <v>49</v>
      </c>
      <c r="E9" s="4" t="n">
        <v>7</v>
      </c>
      <c r="F9" s="4" t="n">
        <v>1.2</v>
      </c>
      <c r="G9" s="3" t="n">
        <v>161</v>
      </c>
      <c r="H9" s="4" t="n">
        <v>29</v>
      </c>
      <c r="I9" s="5" t="s">
        <v>46</v>
      </c>
      <c r="J9" s="3" t="s">
        <v>19</v>
      </c>
      <c r="K9" s="3" t="s">
        <v>19</v>
      </c>
      <c r="L9" s="5" t="s">
        <v>50</v>
      </c>
      <c r="M9" s="6" t="s">
        <v>22</v>
      </c>
      <c r="N9" s="6" t="s">
        <v>22</v>
      </c>
      <c r="O9" s="6" t="s">
        <v>22</v>
      </c>
    </row>
    <row r="10" customFormat="false" ht="34.5" hidden="false" customHeight="true" outlineLevel="0" collapsed="false">
      <c r="A10" s="3" t="s">
        <v>51</v>
      </c>
      <c r="B10" s="3" t="n">
        <v>34</v>
      </c>
      <c r="C10" s="3" t="s">
        <v>29</v>
      </c>
      <c r="D10" s="3" t="s">
        <v>49</v>
      </c>
      <c r="E10" s="4" t="n">
        <v>10.4</v>
      </c>
      <c r="F10" s="4" t="n">
        <v>0.7</v>
      </c>
      <c r="G10" s="3" t="n">
        <v>248</v>
      </c>
      <c r="H10" s="4" t="n">
        <v>24.2</v>
      </c>
      <c r="I10" s="5" t="s">
        <v>52</v>
      </c>
      <c r="J10" s="3" t="s">
        <v>19</v>
      </c>
      <c r="K10" s="3" t="s">
        <v>19</v>
      </c>
      <c r="L10" s="5" t="s">
        <v>53</v>
      </c>
      <c r="M10" s="6" t="s">
        <v>22</v>
      </c>
      <c r="N10" s="6" t="s">
        <v>21</v>
      </c>
      <c r="O10" s="6" t="s">
        <v>23</v>
      </c>
    </row>
    <row r="11" customFormat="false" ht="34.5" hidden="false" customHeight="true" outlineLevel="0" collapsed="false">
      <c r="A11" s="3" t="s">
        <v>54</v>
      </c>
      <c r="B11" s="3" t="n">
        <v>75</v>
      </c>
      <c r="C11" s="3" t="s">
        <v>16</v>
      </c>
      <c r="D11" s="3" t="s">
        <v>17</v>
      </c>
      <c r="E11" s="4" t="n">
        <v>9.5</v>
      </c>
      <c r="F11" s="4" t="n">
        <v>1.2</v>
      </c>
      <c r="G11" s="3" t="n">
        <v>237</v>
      </c>
      <c r="H11" s="4" t="n">
        <v>27.2</v>
      </c>
      <c r="I11" s="5" t="s">
        <v>55</v>
      </c>
      <c r="J11" s="3" t="s">
        <v>19</v>
      </c>
      <c r="K11" s="3" t="s">
        <v>19</v>
      </c>
      <c r="L11" s="5" t="s">
        <v>56</v>
      </c>
      <c r="M11" s="6" t="s">
        <v>22</v>
      </c>
      <c r="N11" s="6" t="s">
        <v>22</v>
      </c>
      <c r="O11" s="6" t="s">
        <v>23</v>
      </c>
    </row>
    <row r="12" customFormat="false" ht="45.75" hidden="false" customHeight="true" outlineLevel="0" collapsed="false">
      <c r="A12" s="3" t="s">
        <v>57</v>
      </c>
      <c r="B12" s="3" t="n">
        <v>65</v>
      </c>
      <c r="C12" s="3" t="s">
        <v>16</v>
      </c>
      <c r="D12" s="3" t="s">
        <v>45</v>
      </c>
      <c r="E12" s="4" t="n">
        <v>7</v>
      </c>
      <c r="F12" s="4" t="n">
        <v>1.8</v>
      </c>
      <c r="G12" s="3" t="n">
        <v>173</v>
      </c>
      <c r="H12" s="4" t="n">
        <v>36.2</v>
      </c>
      <c r="I12" s="5" t="s">
        <v>58</v>
      </c>
      <c r="J12" s="3" t="s">
        <v>39</v>
      </c>
      <c r="K12" s="3" t="s">
        <v>19</v>
      </c>
      <c r="L12" s="5" t="s">
        <v>59</v>
      </c>
      <c r="M12" s="6" t="s">
        <v>23</v>
      </c>
      <c r="N12" s="6" t="s">
        <v>22</v>
      </c>
      <c r="O12" s="6" t="s">
        <v>23</v>
      </c>
    </row>
    <row r="13" customFormat="false" ht="34.5" hidden="false" customHeight="true" outlineLevel="0" collapsed="false">
      <c r="A13" s="3" t="s">
        <v>60</v>
      </c>
      <c r="B13" s="3" t="n">
        <v>49</v>
      </c>
      <c r="C13" s="3" t="s">
        <v>16</v>
      </c>
      <c r="D13" s="3" t="s">
        <v>30</v>
      </c>
      <c r="E13" s="4" t="n">
        <v>8.6</v>
      </c>
      <c r="F13" s="4" t="n">
        <v>1.2</v>
      </c>
      <c r="G13" s="3" t="n">
        <v>183</v>
      </c>
      <c r="H13" s="4" t="n">
        <v>42.1</v>
      </c>
      <c r="I13" s="5" t="s">
        <v>61</v>
      </c>
      <c r="J13" s="3" t="s">
        <v>19</v>
      </c>
      <c r="K13" s="3" t="s">
        <v>19</v>
      </c>
      <c r="L13" s="5" t="s">
        <v>62</v>
      </c>
      <c r="M13" s="6" t="s">
        <v>22</v>
      </c>
      <c r="N13" s="6" t="s">
        <v>22</v>
      </c>
      <c r="O13" s="6" t="s">
        <v>22</v>
      </c>
    </row>
    <row r="14" customFormat="false" ht="45.75" hidden="false" customHeight="true" outlineLevel="0" collapsed="false">
      <c r="A14" s="3" t="s">
        <v>63</v>
      </c>
      <c r="B14" s="3" t="n">
        <v>82</v>
      </c>
      <c r="C14" s="3" t="s">
        <v>16</v>
      </c>
      <c r="D14" s="3" t="s">
        <v>17</v>
      </c>
      <c r="E14" s="4" t="n">
        <v>11.4</v>
      </c>
      <c r="F14" s="4" t="n">
        <v>1.2</v>
      </c>
      <c r="G14" s="3" t="n">
        <v>289</v>
      </c>
      <c r="H14" s="4" t="n">
        <v>24.2</v>
      </c>
      <c r="I14" s="5" t="s">
        <v>64</v>
      </c>
      <c r="J14" s="3" t="s">
        <v>19</v>
      </c>
      <c r="K14" s="3" t="s">
        <v>19</v>
      </c>
      <c r="L14" s="5" t="s">
        <v>65</v>
      </c>
      <c r="M14" s="6" t="s">
        <v>22</v>
      </c>
      <c r="N14" s="6" t="s">
        <v>22</v>
      </c>
      <c r="O14" s="6" t="s">
        <v>21</v>
      </c>
    </row>
    <row r="15" customFormat="false" ht="45.75" hidden="false" customHeight="true" outlineLevel="0" collapsed="false">
      <c r="A15" s="3" t="s">
        <v>66</v>
      </c>
      <c r="B15" s="3" t="n">
        <v>80</v>
      </c>
      <c r="C15" s="3" t="s">
        <v>29</v>
      </c>
      <c r="D15" s="3" t="s">
        <v>25</v>
      </c>
      <c r="E15" s="4" t="n">
        <v>6.5</v>
      </c>
      <c r="F15" s="4" t="n">
        <v>1.2</v>
      </c>
      <c r="G15" s="3" t="n">
        <v>147</v>
      </c>
      <c r="H15" s="4" t="n">
        <v>36.4</v>
      </c>
      <c r="I15" s="5" t="s">
        <v>67</v>
      </c>
      <c r="J15" s="3" t="s">
        <v>19</v>
      </c>
      <c r="K15" s="3" t="s">
        <v>19</v>
      </c>
      <c r="L15" s="5" t="s">
        <v>68</v>
      </c>
      <c r="M15" s="6" t="s">
        <v>22</v>
      </c>
      <c r="N15" s="6" t="s">
        <v>22</v>
      </c>
      <c r="O15" s="6" t="s">
        <v>23</v>
      </c>
    </row>
    <row r="16" customFormat="false" ht="23.25" hidden="false" customHeight="true" outlineLevel="0" collapsed="false">
      <c r="A16" s="3" t="s">
        <v>69</v>
      </c>
      <c r="B16" s="3" t="n">
        <v>49</v>
      </c>
      <c r="C16" s="3" t="s">
        <v>29</v>
      </c>
      <c r="D16" s="3" t="s">
        <v>70</v>
      </c>
      <c r="E16" s="4" t="n">
        <v>6.4</v>
      </c>
      <c r="F16" s="4" t="n">
        <v>2.5</v>
      </c>
      <c r="G16" s="3" t="n">
        <v>93</v>
      </c>
      <c r="H16" s="4" t="n">
        <v>25.4</v>
      </c>
      <c r="I16" s="5" t="s">
        <v>71</v>
      </c>
      <c r="J16" s="3" t="s">
        <v>19</v>
      </c>
      <c r="K16" s="3" t="s">
        <v>19</v>
      </c>
      <c r="L16" s="5" t="s">
        <v>72</v>
      </c>
      <c r="M16" s="6" t="s">
        <v>22</v>
      </c>
      <c r="N16" s="6" t="s">
        <v>22</v>
      </c>
      <c r="O16" s="6" t="s">
        <v>22</v>
      </c>
    </row>
    <row r="17" customFormat="false" ht="45.75" hidden="false" customHeight="true" outlineLevel="0" collapsed="false">
      <c r="A17" s="3" t="s">
        <v>73</v>
      </c>
      <c r="B17" s="3" t="n">
        <v>56</v>
      </c>
      <c r="C17" s="3" t="s">
        <v>29</v>
      </c>
      <c r="D17" s="3" t="s">
        <v>37</v>
      </c>
      <c r="E17" s="4" t="n">
        <v>10</v>
      </c>
      <c r="F17" s="4" t="n">
        <v>0.9</v>
      </c>
      <c r="G17" s="3" t="n">
        <v>227</v>
      </c>
      <c r="H17" s="4" t="n">
        <v>32.8</v>
      </c>
      <c r="I17" s="5" t="s">
        <v>46</v>
      </c>
      <c r="J17" s="3" t="s">
        <v>19</v>
      </c>
      <c r="K17" s="3" t="s">
        <v>19</v>
      </c>
      <c r="L17" s="5" t="s">
        <v>74</v>
      </c>
      <c r="M17" s="6" t="s">
        <v>21</v>
      </c>
      <c r="N17" s="6" t="s">
        <v>22</v>
      </c>
      <c r="O17" s="6" t="s">
        <v>21</v>
      </c>
    </row>
    <row r="18" customFormat="false" ht="57" hidden="false" customHeight="true" outlineLevel="0" collapsed="false">
      <c r="A18" s="3" t="s">
        <v>75</v>
      </c>
      <c r="B18" s="3" t="n">
        <v>58</v>
      </c>
      <c r="C18" s="3" t="s">
        <v>16</v>
      </c>
      <c r="D18" s="3" t="s">
        <v>30</v>
      </c>
      <c r="E18" s="4" t="n">
        <v>8.9</v>
      </c>
      <c r="F18" s="4" t="n">
        <v>1.1</v>
      </c>
      <c r="G18" s="3" t="n">
        <v>190</v>
      </c>
      <c r="H18" s="4" t="n">
        <v>41.6</v>
      </c>
      <c r="I18" s="5" t="s">
        <v>31</v>
      </c>
      <c r="J18" s="3" t="s">
        <v>19</v>
      </c>
      <c r="K18" s="3" t="s">
        <v>19</v>
      </c>
      <c r="L18" s="5" t="s">
        <v>76</v>
      </c>
      <c r="M18" s="6" t="s">
        <v>21</v>
      </c>
      <c r="N18" s="6" t="s">
        <v>22</v>
      </c>
      <c r="O18" s="6" t="s">
        <v>23</v>
      </c>
    </row>
    <row r="19" customFormat="false" ht="45.75" hidden="false" customHeight="true" outlineLevel="0" collapsed="false">
      <c r="A19" s="3" t="s">
        <v>77</v>
      </c>
      <c r="B19" s="3" t="n">
        <v>35</v>
      </c>
      <c r="C19" s="3" t="s">
        <v>29</v>
      </c>
      <c r="D19" s="3" t="s">
        <v>30</v>
      </c>
      <c r="E19" s="4" t="n">
        <v>11.3</v>
      </c>
      <c r="F19" s="4" t="n">
        <v>0.7</v>
      </c>
      <c r="G19" s="3" t="n">
        <v>273</v>
      </c>
      <c r="H19" s="4" t="n">
        <v>37.6</v>
      </c>
      <c r="I19" s="5" t="s">
        <v>78</v>
      </c>
      <c r="J19" s="3" t="s">
        <v>19</v>
      </c>
      <c r="K19" s="3" t="s">
        <v>19</v>
      </c>
      <c r="L19" s="5" t="s">
        <v>79</v>
      </c>
      <c r="M19" s="6" t="s">
        <v>22</v>
      </c>
      <c r="N19" s="6" t="s">
        <v>22</v>
      </c>
      <c r="O19" s="6" t="s">
        <v>23</v>
      </c>
    </row>
    <row r="20" customFormat="false" ht="34.5" hidden="false" customHeight="true" outlineLevel="0" collapsed="false">
      <c r="A20" s="3" t="s">
        <v>80</v>
      </c>
      <c r="B20" s="3" t="n">
        <v>64</v>
      </c>
      <c r="C20" s="3" t="s">
        <v>29</v>
      </c>
      <c r="D20" s="3" t="s">
        <v>30</v>
      </c>
      <c r="E20" s="4" t="n">
        <v>10.2</v>
      </c>
      <c r="F20" s="4" t="n">
        <v>1.2</v>
      </c>
      <c r="G20" s="3" t="n">
        <v>242</v>
      </c>
      <c r="H20" s="4" t="n">
        <v>42.2</v>
      </c>
      <c r="I20" s="5" t="s">
        <v>18</v>
      </c>
      <c r="J20" s="3" t="s">
        <v>19</v>
      </c>
      <c r="K20" s="3" t="s">
        <v>19</v>
      </c>
      <c r="L20" s="5" t="s">
        <v>81</v>
      </c>
      <c r="M20" s="6" t="s">
        <v>22</v>
      </c>
      <c r="N20" s="6" t="s">
        <v>22</v>
      </c>
      <c r="O20" s="6" t="s">
        <v>23</v>
      </c>
    </row>
    <row r="21" customFormat="false" ht="45.75" hidden="false" customHeight="true" outlineLevel="0" collapsed="false">
      <c r="A21" s="3" t="s">
        <v>82</v>
      </c>
      <c r="B21" s="3" t="n">
        <v>70</v>
      </c>
      <c r="C21" s="3" t="s">
        <v>29</v>
      </c>
      <c r="D21" s="3" t="s">
        <v>49</v>
      </c>
      <c r="E21" s="4" t="n">
        <v>7</v>
      </c>
      <c r="F21" s="4" t="n">
        <v>1</v>
      </c>
      <c r="G21" s="3" t="n">
        <v>154</v>
      </c>
      <c r="H21" s="4" t="n">
        <v>26.9</v>
      </c>
      <c r="I21" s="5" t="s">
        <v>83</v>
      </c>
      <c r="J21" s="3" t="s">
        <v>19</v>
      </c>
      <c r="K21" s="3" t="s">
        <v>19</v>
      </c>
      <c r="L21" s="5" t="s">
        <v>84</v>
      </c>
      <c r="M21" s="6" t="s">
        <v>21</v>
      </c>
      <c r="N21" s="6" t="s">
        <v>22</v>
      </c>
      <c r="O21" s="6" t="s">
        <v>21</v>
      </c>
    </row>
    <row r="22" customFormat="false" ht="45.75" hidden="false" customHeight="true" outlineLevel="0" collapsed="false">
      <c r="A22" s="3" t="s">
        <v>85</v>
      </c>
      <c r="B22" s="3" t="n">
        <v>28</v>
      </c>
      <c r="C22" s="3" t="s">
        <v>29</v>
      </c>
      <c r="D22" s="3" t="s">
        <v>86</v>
      </c>
      <c r="E22" s="4" t="n">
        <v>9</v>
      </c>
      <c r="F22" s="4" t="n">
        <v>1.3</v>
      </c>
      <c r="G22" s="3" t="n">
        <v>187</v>
      </c>
      <c r="H22" s="4" t="n">
        <v>23.4</v>
      </c>
      <c r="I22" s="5" t="s">
        <v>87</v>
      </c>
      <c r="J22" s="3" t="s">
        <v>19</v>
      </c>
      <c r="K22" s="3" t="s">
        <v>19</v>
      </c>
      <c r="L22" s="5" t="s">
        <v>88</v>
      </c>
      <c r="M22" s="6" t="s">
        <v>22</v>
      </c>
      <c r="N22" s="6" t="s">
        <v>89</v>
      </c>
      <c r="O22" s="6" t="s">
        <v>23</v>
      </c>
    </row>
    <row r="23" customFormat="false" ht="23.25" hidden="false" customHeight="true" outlineLevel="0" collapsed="false">
      <c r="A23" s="3" t="s">
        <v>90</v>
      </c>
      <c r="B23" s="3" t="n">
        <v>39</v>
      </c>
      <c r="C23" s="3" t="s">
        <v>29</v>
      </c>
      <c r="D23" s="3" t="s">
        <v>49</v>
      </c>
      <c r="E23" s="4" t="n">
        <v>8.3</v>
      </c>
      <c r="F23" s="4" t="n">
        <v>1</v>
      </c>
      <c r="G23" s="3" t="n">
        <v>185</v>
      </c>
      <c r="H23" s="4" t="n">
        <v>22.1</v>
      </c>
      <c r="I23" s="5" t="s">
        <v>46</v>
      </c>
      <c r="J23" s="3" t="s">
        <v>19</v>
      </c>
      <c r="K23" s="3" t="s">
        <v>19</v>
      </c>
      <c r="L23" s="5" t="s">
        <v>91</v>
      </c>
      <c r="M23" s="6" t="s">
        <v>22</v>
      </c>
      <c r="N23" s="6" t="s">
        <v>21</v>
      </c>
      <c r="O23" s="6" t="s">
        <v>22</v>
      </c>
    </row>
    <row r="24" customFormat="false" ht="45.75" hidden="false" customHeight="true" outlineLevel="0" collapsed="false">
      <c r="A24" s="3" t="s">
        <v>92</v>
      </c>
      <c r="B24" s="3" t="n">
        <v>26</v>
      </c>
      <c r="C24" s="3" t="s">
        <v>29</v>
      </c>
      <c r="D24" s="3" t="s">
        <v>37</v>
      </c>
      <c r="E24" s="4" t="n">
        <v>10.6</v>
      </c>
      <c r="F24" s="4" t="n">
        <v>1</v>
      </c>
      <c r="G24" s="3" t="n">
        <v>251</v>
      </c>
      <c r="H24" s="4" t="n">
        <v>38.5</v>
      </c>
      <c r="I24" s="5" t="s">
        <v>52</v>
      </c>
      <c r="J24" s="3" t="s">
        <v>19</v>
      </c>
      <c r="K24" s="3" t="s">
        <v>19</v>
      </c>
      <c r="L24" s="5" t="s">
        <v>93</v>
      </c>
      <c r="M24" s="6" t="s">
        <v>22</v>
      </c>
      <c r="N24" s="6" t="s">
        <v>89</v>
      </c>
      <c r="O24" s="6" t="s">
        <v>23</v>
      </c>
    </row>
    <row r="25" customFormat="false" ht="34.5" hidden="false" customHeight="true" outlineLevel="0" collapsed="false">
      <c r="A25" s="3" t="s">
        <v>94</v>
      </c>
      <c r="B25" s="3" t="n">
        <v>78</v>
      </c>
      <c r="C25" s="3" t="s">
        <v>29</v>
      </c>
      <c r="D25" s="3" t="s">
        <v>17</v>
      </c>
      <c r="E25" s="4" t="n">
        <v>10.9</v>
      </c>
      <c r="F25" s="4" t="n">
        <v>0.7</v>
      </c>
      <c r="G25" s="3" t="n">
        <v>251</v>
      </c>
      <c r="H25" s="4" t="n">
        <v>21.9</v>
      </c>
      <c r="I25" s="5" t="s">
        <v>95</v>
      </c>
      <c r="J25" s="3" t="s">
        <v>19</v>
      </c>
      <c r="K25" s="3" t="s">
        <v>19</v>
      </c>
      <c r="L25" s="5" t="s">
        <v>96</v>
      </c>
      <c r="M25" s="6" t="s">
        <v>21</v>
      </c>
      <c r="N25" s="6" t="s">
        <v>22</v>
      </c>
      <c r="O25" s="6" t="s">
        <v>23</v>
      </c>
    </row>
    <row r="26" customFormat="false" ht="45.75" hidden="false" customHeight="true" outlineLevel="0" collapsed="false">
      <c r="A26" s="3" t="s">
        <v>97</v>
      </c>
      <c r="B26" s="3" t="n">
        <v>29</v>
      </c>
      <c r="C26" s="3" t="s">
        <v>29</v>
      </c>
      <c r="D26" s="3" t="s">
        <v>37</v>
      </c>
      <c r="E26" s="4" t="n">
        <v>6.8</v>
      </c>
      <c r="F26" s="4" t="n">
        <v>1</v>
      </c>
      <c r="G26" s="3" t="n">
        <v>150</v>
      </c>
      <c r="H26" s="4" t="n">
        <v>32.9</v>
      </c>
      <c r="I26" s="5" t="s">
        <v>98</v>
      </c>
      <c r="J26" s="3" t="s">
        <v>19</v>
      </c>
      <c r="K26" s="3" t="s">
        <v>39</v>
      </c>
      <c r="L26" s="5" t="s">
        <v>99</v>
      </c>
      <c r="M26" s="6" t="s">
        <v>22</v>
      </c>
      <c r="N26" s="6" t="s">
        <v>23</v>
      </c>
      <c r="O26" s="6" t="s">
        <v>21</v>
      </c>
    </row>
    <row r="27" customFormat="false" ht="45.75" hidden="false" customHeight="true" outlineLevel="0" collapsed="false">
      <c r="A27" s="3" t="s">
        <v>100</v>
      </c>
      <c r="B27" s="3" t="n">
        <v>47</v>
      </c>
      <c r="C27" s="3" t="s">
        <v>29</v>
      </c>
      <c r="D27" s="3" t="s">
        <v>101</v>
      </c>
      <c r="E27" s="4" t="n">
        <v>6.4</v>
      </c>
      <c r="F27" s="4" t="n">
        <v>0.7</v>
      </c>
      <c r="G27" s="3" t="n">
        <v>99</v>
      </c>
      <c r="H27" s="4" t="n">
        <v>39.9</v>
      </c>
      <c r="I27" s="5" t="s">
        <v>102</v>
      </c>
      <c r="J27" s="3" t="s">
        <v>19</v>
      </c>
      <c r="K27" s="3" t="s">
        <v>19</v>
      </c>
      <c r="L27" s="5" t="s">
        <v>103</v>
      </c>
      <c r="M27" s="6" t="s">
        <v>22</v>
      </c>
      <c r="N27" s="6" t="s">
        <v>22</v>
      </c>
      <c r="O27" s="6" t="s">
        <v>21</v>
      </c>
    </row>
    <row r="28" customFormat="false" ht="34.5" hidden="false" customHeight="true" outlineLevel="0" collapsed="false">
      <c r="A28" s="3" t="s">
        <v>104</v>
      </c>
      <c r="B28" s="3" t="n">
        <v>75</v>
      </c>
      <c r="C28" s="3" t="s">
        <v>16</v>
      </c>
      <c r="D28" s="3" t="s">
        <v>17</v>
      </c>
      <c r="E28" s="4" t="n">
        <v>11.8</v>
      </c>
      <c r="F28" s="4" t="n">
        <v>1.2</v>
      </c>
      <c r="G28" s="3" t="n">
        <v>277</v>
      </c>
      <c r="H28" s="4" t="n">
        <v>28.4</v>
      </c>
      <c r="I28" s="5" t="s">
        <v>105</v>
      </c>
      <c r="J28" s="3" t="s">
        <v>19</v>
      </c>
      <c r="K28" s="3" t="s">
        <v>19</v>
      </c>
      <c r="L28" s="5" t="s">
        <v>106</v>
      </c>
      <c r="M28" s="6" t="s">
        <v>22</v>
      </c>
      <c r="N28" s="6" t="s">
        <v>22</v>
      </c>
      <c r="O28" s="6" t="s">
        <v>23</v>
      </c>
    </row>
    <row r="29" customFormat="false" ht="45.75" hidden="false" customHeight="true" outlineLevel="0" collapsed="false">
      <c r="A29" s="3" t="s">
        <v>107</v>
      </c>
      <c r="B29" s="3" t="n">
        <v>44</v>
      </c>
      <c r="C29" s="3" t="s">
        <v>29</v>
      </c>
      <c r="D29" s="3" t="s">
        <v>17</v>
      </c>
      <c r="E29" s="4" t="n">
        <v>7.6</v>
      </c>
      <c r="F29" s="4" t="n">
        <v>0.9</v>
      </c>
      <c r="G29" s="3" t="n">
        <v>141</v>
      </c>
      <c r="H29" s="4" t="n">
        <v>26.3</v>
      </c>
      <c r="I29" s="5" t="s">
        <v>61</v>
      </c>
      <c r="J29" s="3" t="s">
        <v>19</v>
      </c>
      <c r="K29" s="3" t="s">
        <v>19</v>
      </c>
      <c r="L29" s="5" t="s">
        <v>108</v>
      </c>
      <c r="M29" s="6" t="s">
        <v>21</v>
      </c>
      <c r="N29" s="6" t="s">
        <v>22</v>
      </c>
      <c r="O29" s="6" t="s">
        <v>22</v>
      </c>
    </row>
    <row r="30" customFormat="false" ht="34.5" hidden="false" customHeight="true" outlineLevel="0" collapsed="false">
      <c r="A30" s="3" t="s">
        <v>109</v>
      </c>
      <c r="B30" s="3" t="n">
        <v>35</v>
      </c>
      <c r="C30" s="3" t="s">
        <v>29</v>
      </c>
      <c r="D30" s="3" t="s">
        <v>17</v>
      </c>
      <c r="E30" s="4" t="n">
        <v>8</v>
      </c>
      <c r="F30" s="4" t="n">
        <v>0.7</v>
      </c>
      <c r="G30" s="3" t="n">
        <v>186</v>
      </c>
      <c r="H30" s="4" t="n">
        <v>23.5</v>
      </c>
      <c r="I30" s="5" t="s">
        <v>110</v>
      </c>
      <c r="J30" s="3" t="s">
        <v>19</v>
      </c>
      <c r="K30" s="3" t="s">
        <v>19</v>
      </c>
      <c r="L30" s="5" t="s">
        <v>111</v>
      </c>
      <c r="M30" s="6" t="s">
        <v>89</v>
      </c>
      <c r="N30" s="6" t="s">
        <v>22</v>
      </c>
      <c r="O30" s="6" t="s">
        <v>23</v>
      </c>
    </row>
    <row r="31" customFormat="false" ht="45.75" hidden="false" customHeight="true" outlineLevel="0" collapsed="false">
      <c r="A31" s="3" t="s">
        <v>112</v>
      </c>
      <c r="B31" s="3" t="n">
        <v>68</v>
      </c>
      <c r="C31" s="3" t="s">
        <v>29</v>
      </c>
      <c r="D31" s="3" t="s">
        <v>30</v>
      </c>
      <c r="E31" s="4" t="n">
        <v>9.3</v>
      </c>
      <c r="F31" s="4" t="n">
        <v>0.8</v>
      </c>
      <c r="G31" s="3" t="n">
        <v>212</v>
      </c>
      <c r="H31" s="4" t="n">
        <v>37.1</v>
      </c>
      <c r="I31" s="5" t="s">
        <v>113</v>
      </c>
      <c r="J31" s="3" t="s">
        <v>19</v>
      </c>
      <c r="K31" s="3" t="s">
        <v>19</v>
      </c>
      <c r="L31" s="5" t="s">
        <v>114</v>
      </c>
      <c r="M31" s="6" t="s">
        <v>22</v>
      </c>
      <c r="N31" s="6" t="s">
        <v>22</v>
      </c>
      <c r="O31" s="6" t="s">
        <v>23</v>
      </c>
    </row>
    <row r="32" customFormat="false" ht="34.5" hidden="false" customHeight="true" outlineLevel="0" collapsed="false">
      <c r="A32" s="3" t="s">
        <v>115</v>
      </c>
      <c r="B32" s="3" t="n">
        <v>37</v>
      </c>
      <c r="C32" s="3" t="s">
        <v>29</v>
      </c>
      <c r="D32" s="3" t="s">
        <v>30</v>
      </c>
      <c r="E32" s="4" t="n">
        <v>7.9</v>
      </c>
      <c r="F32" s="4" t="n">
        <v>1.2</v>
      </c>
      <c r="G32" s="3" t="n">
        <v>181</v>
      </c>
      <c r="H32" s="4" t="n">
        <v>33.8</v>
      </c>
      <c r="I32" s="5" t="s">
        <v>116</v>
      </c>
      <c r="J32" s="3" t="s">
        <v>39</v>
      </c>
      <c r="K32" s="3" t="s">
        <v>19</v>
      </c>
      <c r="L32" s="5" t="s">
        <v>117</v>
      </c>
      <c r="M32" s="6" t="s">
        <v>23</v>
      </c>
      <c r="N32" s="6" t="s">
        <v>22</v>
      </c>
      <c r="O32" s="6" t="s">
        <v>23</v>
      </c>
    </row>
    <row r="33" customFormat="false" ht="34.5" hidden="false" customHeight="true" outlineLevel="0" collapsed="false">
      <c r="A33" s="3" t="s">
        <v>118</v>
      </c>
      <c r="B33" s="3" t="n">
        <v>40</v>
      </c>
      <c r="C33" s="3" t="s">
        <v>16</v>
      </c>
      <c r="D33" s="3" t="s">
        <v>30</v>
      </c>
      <c r="E33" s="4" t="n">
        <v>7.2</v>
      </c>
      <c r="F33" s="4" t="n">
        <v>1</v>
      </c>
      <c r="G33" s="3" t="n">
        <v>139</v>
      </c>
      <c r="H33" s="4" t="n">
        <v>38.7</v>
      </c>
      <c r="I33" s="5" t="s">
        <v>31</v>
      </c>
      <c r="J33" s="3" t="s">
        <v>19</v>
      </c>
      <c r="K33" s="3" t="s">
        <v>19</v>
      </c>
      <c r="L33" s="5" t="s">
        <v>119</v>
      </c>
      <c r="M33" s="6" t="s">
        <v>21</v>
      </c>
      <c r="N33" s="6" t="s">
        <v>22</v>
      </c>
      <c r="O33" s="6" t="s">
        <v>89</v>
      </c>
    </row>
    <row r="34" customFormat="false" ht="45.75" hidden="false" customHeight="true" outlineLevel="0" collapsed="false">
      <c r="A34" s="3" t="s">
        <v>120</v>
      </c>
      <c r="B34" s="3" t="n">
        <v>58</v>
      </c>
      <c r="C34" s="3" t="s">
        <v>29</v>
      </c>
      <c r="D34" s="3" t="s">
        <v>101</v>
      </c>
      <c r="E34" s="4" t="n">
        <v>8.9</v>
      </c>
      <c r="F34" s="4" t="n">
        <v>0.9</v>
      </c>
      <c r="G34" s="3" t="n">
        <v>209</v>
      </c>
      <c r="H34" s="4" t="n">
        <v>42.5</v>
      </c>
      <c r="I34" s="5" t="s">
        <v>121</v>
      </c>
      <c r="J34" s="3" t="s">
        <v>19</v>
      </c>
      <c r="K34" s="3" t="s">
        <v>19</v>
      </c>
      <c r="L34" s="5" t="s">
        <v>122</v>
      </c>
      <c r="M34" s="6" t="s">
        <v>21</v>
      </c>
      <c r="N34" s="6" t="s">
        <v>22</v>
      </c>
      <c r="O34" s="6" t="s">
        <v>23</v>
      </c>
    </row>
    <row r="35" customFormat="false" ht="34.5" hidden="false" customHeight="true" outlineLevel="0" collapsed="false">
      <c r="A35" s="3" t="s">
        <v>123</v>
      </c>
      <c r="B35" s="3" t="n">
        <v>43</v>
      </c>
      <c r="C35" s="3" t="s">
        <v>29</v>
      </c>
      <c r="D35" s="3" t="s">
        <v>17</v>
      </c>
      <c r="E35" s="4" t="n">
        <v>10.6</v>
      </c>
      <c r="F35" s="4" t="n">
        <v>0.8</v>
      </c>
      <c r="G35" s="3" t="n">
        <v>214</v>
      </c>
      <c r="H35" s="4" t="n">
        <v>29.2</v>
      </c>
      <c r="I35" s="5" t="s">
        <v>124</v>
      </c>
      <c r="J35" s="3" t="s">
        <v>19</v>
      </c>
      <c r="K35" s="3" t="s">
        <v>19</v>
      </c>
      <c r="L35" s="5" t="s">
        <v>125</v>
      </c>
      <c r="M35" s="6" t="s">
        <v>22</v>
      </c>
      <c r="N35" s="6" t="s">
        <v>22</v>
      </c>
      <c r="O35" s="6" t="s">
        <v>23</v>
      </c>
    </row>
    <row r="36" customFormat="false" ht="45.75" hidden="false" customHeight="true" outlineLevel="0" collapsed="false">
      <c r="A36" s="3" t="s">
        <v>126</v>
      </c>
      <c r="B36" s="3" t="n">
        <v>36</v>
      </c>
      <c r="C36" s="3" t="s">
        <v>16</v>
      </c>
      <c r="D36" s="3" t="s">
        <v>37</v>
      </c>
      <c r="E36" s="4" t="n">
        <v>6.4</v>
      </c>
      <c r="F36" s="4" t="n">
        <v>0.7</v>
      </c>
      <c r="G36" s="3" t="n">
        <v>123</v>
      </c>
      <c r="H36" s="4" t="n">
        <v>30.8</v>
      </c>
      <c r="I36" s="5" t="s">
        <v>127</v>
      </c>
      <c r="J36" s="3" t="s">
        <v>19</v>
      </c>
      <c r="K36" s="3" t="s">
        <v>19</v>
      </c>
      <c r="L36" s="5" t="s">
        <v>128</v>
      </c>
      <c r="M36" s="6" t="s">
        <v>21</v>
      </c>
      <c r="N36" s="6" t="s">
        <v>22</v>
      </c>
      <c r="O36" s="6" t="s">
        <v>23</v>
      </c>
    </row>
    <row r="37" customFormat="false" ht="23.25" hidden="false" customHeight="true" outlineLevel="0" collapsed="false">
      <c r="A37" s="3" t="s">
        <v>129</v>
      </c>
      <c r="B37" s="3" t="n">
        <v>79</v>
      </c>
      <c r="C37" s="3" t="s">
        <v>16</v>
      </c>
      <c r="D37" s="3" t="s">
        <v>25</v>
      </c>
      <c r="E37" s="4" t="n">
        <v>11.3</v>
      </c>
      <c r="F37" s="4" t="n">
        <v>0.9</v>
      </c>
      <c r="G37" s="3" t="n">
        <v>239</v>
      </c>
      <c r="H37" s="4" t="n">
        <v>41.9</v>
      </c>
      <c r="I37" s="5" t="s">
        <v>130</v>
      </c>
      <c r="J37" s="3" t="s">
        <v>19</v>
      </c>
      <c r="K37" s="3" t="s">
        <v>19</v>
      </c>
      <c r="L37" s="5" t="s">
        <v>131</v>
      </c>
      <c r="M37" s="6" t="s">
        <v>22</v>
      </c>
      <c r="N37" s="6" t="s">
        <v>22</v>
      </c>
      <c r="O37" s="6" t="s">
        <v>23</v>
      </c>
    </row>
    <row r="38" customFormat="false" ht="45.75" hidden="false" customHeight="true" outlineLevel="0" collapsed="false">
      <c r="A38" s="3" t="s">
        <v>132</v>
      </c>
      <c r="B38" s="3" t="n">
        <v>71</v>
      </c>
      <c r="C38" s="3" t="s">
        <v>29</v>
      </c>
      <c r="D38" s="3" t="s">
        <v>86</v>
      </c>
      <c r="E38" s="4" t="n">
        <v>11.6</v>
      </c>
      <c r="F38" s="4" t="n">
        <v>0.9</v>
      </c>
      <c r="G38" s="3" t="n">
        <v>279</v>
      </c>
      <c r="H38" s="4" t="n">
        <v>27.4</v>
      </c>
      <c r="I38" s="5" t="s">
        <v>121</v>
      </c>
      <c r="J38" s="3" t="s">
        <v>19</v>
      </c>
      <c r="K38" s="3" t="s">
        <v>19</v>
      </c>
      <c r="L38" s="5" t="s">
        <v>133</v>
      </c>
      <c r="M38" s="6" t="s">
        <v>22</v>
      </c>
      <c r="N38" s="6" t="s">
        <v>22</v>
      </c>
      <c r="O38" s="6" t="s">
        <v>23</v>
      </c>
    </row>
    <row r="39" customFormat="false" ht="45.75" hidden="false" customHeight="true" outlineLevel="0" collapsed="false">
      <c r="A39" s="3" t="s">
        <v>134</v>
      </c>
      <c r="B39" s="3" t="n">
        <v>60</v>
      </c>
      <c r="C39" s="3" t="s">
        <v>16</v>
      </c>
      <c r="D39" s="3" t="s">
        <v>30</v>
      </c>
      <c r="E39" s="4" t="n">
        <v>7.4</v>
      </c>
      <c r="F39" s="4" t="n">
        <v>1.1</v>
      </c>
      <c r="G39" s="3" t="n">
        <v>148</v>
      </c>
      <c r="H39" s="4" t="n">
        <v>31.4</v>
      </c>
      <c r="I39" s="5" t="s">
        <v>135</v>
      </c>
      <c r="J39" s="3" t="s">
        <v>19</v>
      </c>
      <c r="K39" s="3" t="s">
        <v>19</v>
      </c>
      <c r="L39" s="5" t="s">
        <v>136</v>
      </c>
      <c r="M39" s="6" t="s">
        <v>89</v>
      </c>
      <c r="N39" s="6" t="s">
        <v>22</v>
      </c>
      <c r="O39" s="6" t="s">
        <v>21</v>
      </c>
    </row>
    <row r="40" customFormat="false" ht="34.5" hidden="false" customHeight="true" outlineLevel="0" collapsed="false">
      <c r="A40" s="3" t="s">
        <v>137</v>
      </c>
      <c r="B40" s="3" t="n">
        <v>26</v>
      </c>
      <c r="C40" s="3" t="s">
        <v>29</v>
      </c>
      <c r="D40" s="3" t="s">
        <v>101</v>
      </c>
      <c r="E40" s="4" t="n">
        <v>10.4</v>
      </c>
      <c r="F40" s="4" t="n">
        <v>0.8</v>
      </c>
      <c r="G40" s="3" t="n">
        <v>251</v>
      </c>
      <c r="H40" s="4" t="n">
        <v>39</v>
      </c>
      <c r="I40" s="5" t="s">
        <v>138</v>
      </c>
      <c r="J40" s="3" t="s">
        <v>19</v>
      </c>
      <c r="K40" s="3" t="s">
        <v>19</v>
      </c>
      <c r="L40" s="5" t="s">
        <v>139</v>
      </c>
      <c r="M40" s="6" t="s">
        <v>22</v>
      </c>
      <c r="N40" s="6" t="s">
        <v>21</v>
      </c>
      <c r="O40" s="6" t="s">
        <v>21</v>
      </c>
    </row>
    <row r="41" customFormat="false" ht="34.5" hidden="false" customHeight="true" outlineLevel="0" collapsed="false">
      <c r="A41" s="3" t="s">
        <v>140</v>
      </c>
      <c r="B41" s="3" t="n">
        <v>69</v>
      </c>
      <c r="C41" s="3" t="s">
        <v>29</v>
      </c>
      <c r="D41" s="3" t="s">
        <v>141</v>
      </c>
      <c r="E41" s="4" t="n">
        <v>8.5</v>
      </c>
      <c r="F41" s="4" t="n">
        <v>1.6</v>
      </c>
      <c r="G41" s="3" t="n">
        <v>209</v>
      </c>
      <c r="H41" s="4" t="n">
        <v>30.1</v>
      </c>
      <c r="I41" s="5" t="s">
        <v>142</v>
      </c>
      <c r="J41" s="3" t="s">
        <v>19</v>
      </c>
      <c r="K41" s="3" t="s">
        <v>19</v>
      </c>
      <c r="L41" s="5" t="s">
        <v>143</v>
      </c>
      <c r="M41" s="6" t="s">
        <v>22</v>
      </c>
      <c r="N41" s="6" t="s">
        <v>22</v>
      </c>
      <c r="O41" s="6" t="s">
        <v>22</v>
      </c>
    </row>
    <row r="42" customFormat="false" ht="45.75" hidden="false" customHeight="true" outlineLevel="0" collapsed="false">
      <c r="A42" s="3" t="s">
        <v>144</v>
      </c>
      <c r="B42" s="3" t="n">
        <v>67</v>
      </c>
      <c r="C42" s="3" t="s">
        <v>16</v>
      </c>
      <c r="D42" s="3" t="s">
        <v>49</v>
      </c>
      <c r="E42" s="4" t="n">
        <v>9.8</v>
      </c>
      <c r="F42" s="4" t="n">
        <v>1.1</v>
      </c>
      <c r="G42" s="3" t="n">
        <v>227</v>
      </c>
      <c r="H42" s="4" t="n">
        <v>29.8</v>
      </c>
      <c r="I42" s="5" t="s">
        <v>52</v>
      </c>
      <c r="J42" s="3" t="s">
        <v>19</v>
      </c>
      <c r="K42" s="3" t="s">
        <v>19</v>
      </c>
      <c r="L42" s="5" t="s">
        <v>145</v>
      </c>
      <c r="M42" s="6" t="s">
        <v>22</v>
      </c>
      <c r="N42" s="6" t="s">
        <v>22</v>
      </c>
      <c r="O42" s="6" t="s">
        <v>23</v>
      </c>
    </row>
    <row r="43" customFormat="false" ht="45.75" hidden="false" customHeight="true" outlineLevel="0" collapsed="false">
      <c r="A43" s="3" t="s">
        <v>146</v>
      </c>
      <c r="B43" s="3" t="n">
        <v>40</v>
      </c>
      <c r="C43" s="3" t="s">
        <v>16</v>
      </c>
      <c r="D43" s="3" t="s">
        <v>45</v>
      </c>
      <c r="E43" s="4" t="n">
        <v>8.9</v>
      </c>
      <c r="F43" s="4" t="n">
        <v>1.7</v>
      </c>
      <c r="G43" s="3" t="n">
        <v>207</v>
      </c>
      <c r="H43" s="4" t="n">
        <v>37.6</v>
      </c>
      <c r="I43" s="5" t="s">
        <v>46</v>
      </c>
      <c r="J43" s="3" t="s">
        <v>19</v>
      </c>
      <c r="K43" s="3" t="s">
        <v>19</v>
      </c>
      <c r="L43" s="5" t="s">
        <v>147</v>
      </c>
      <c r="M43" s="6" t="s">
        <v>22</v>
      </c>
      <c r="N43" s="6" t="s">
        <v>22</v>
      </c>
      <c r="O43" s="6" t="s">
        <v>21</v>
      </c>
    </row>
    <row r="44" customFormat="false" ht="34.5" hidden="false" customHeight="true" outlineLevel="0" collapsed="false">
      <c r="A44" s="3" t="s">
        <v>148</v>
      </c>
      <c r="B44" s="3" t="n">
        <v>24</v>
      </c>
      <c r="C44" s="3" t="s">
        <v>29</v>
      </c>
      <c r="D44" s="3" t="s">
        <v>30</v>
      </c>
      <c r="E44" s="4" t="n">
        <v>9.2</v>
      </c>
      <c r="F44" s="4" t="n">
        <v>0.7</v>
      </c>
      <c r="G44" s="3" t="n">
        <v>207</v>
      </c>
      <c r="H44" s="4" t="n">
        <v>38.6</v>
      </c>
      <c r="I44" s="5" t="s">
        <v>149</v>
      </c>
      <c r="J44" s="3" t="s">
        <v>19</v>
      </c>
      <c r="K44" s="3" t="s">
        <v>19</v>
      </c>
      <c r="L44" s="5" t="s">
        <v>150</v>
      </c>
      <c r="M44" s="6" t="s">
        <v>22</v>
      </c>
      <c r="N44" s="6" t="s">
        <v>21</v>
      </c>
      <c r="O44" s="6" t="s">
        <v>23</v>
      </c>
    </row>
    <row r="45" customFormat="false" ht="45.75" hidden="false" customHeight="true" outlineLevel="0" collapsed="false">
      <c r="A45" s="3" t="s">
        <v>151</v>
      </c>
      <c r="B45" s="3" t="n">
        <v>81</v>
      </c>
      <c r="C45" s="3" t="s">
        <v>16</v>
      </c>
      <c r="D45" s="3" t="s">
        <v>37</v>
      </c>
      <c r="E45" s="4" t="n">
        <v>7</v>
      </c>
      <c r="F45" s="4" t="n">
        <v>0.7</v>
      </c>
      <c r="G45" s="3" t="n">
        <v>179</v>
      </c>
      <c r="H45" s="4" t="n">
        <v>36.4</v>
      </c>
      <c r="I45" s="5" t="s">
        <v>152</v>
      </c>
      <c r="J45" s="3" t="s">
        <v>39</v>
      </c>
      <c r="K45" s="3" t="s">
        <v>19</v>
      </c>
      <c r="L45" s="5" t="s">
        <v>153</v>
      </c>
      <c r="M45" s="6" t="s">
        <v>23</v>
      </c>
      <c r="N45" s="6" t="s">
        <v>22</v>
      </c>
      <c r="O45" s="6" t="s">
        <v>23</v>
      </c>
    </row>
    <row r="46" customFormat="false" ht="34.5" hidden="false" customHeight="true" outlineLevel="0" collapsed="false">
      <c r="A46" s="3" t="s">
        <v>154</v>
      </c>
      <c r="B46" s="3" t="n">
        <v>56</v>
      </c>
      <c r="C46" s="3" t="s">
        <v>29</v>
      </c>
      <c r="D46" s="3" t="s">
        <v>17</v>
      </c>
      <c r="E46" s="4" t="n">
        <v>8.2</v>
      </c>
      <c r="F46" s="4" t="n">
        <v>0.6</v>
      </c>
      <c r="G46" s="3" t="n">
        <v>186</v>
      </c>
      <c r="H46" s="4" t="n">
        <v>26.6</v>
      </c>
      <c r="I46" s="5" t="s">
        <v>142</v>
      </c>
      <c r="J46" s="3" t="s">
        <v>19</v>
      </c>
      <c r="K46" s="3" t="s">
        <v>19</v>
      </c>
      <c r="L46" s="5" t="s">
        <v>155</v>
      </c>
      <c r="M46" s="6" t="s">
        <v>22</v>
      </c>
      <c r="N46" s="6" t="s">
        <v>22</v>
      </c>
      <c r="O46" s="6" t="s">
        <v>22</v>
      </c>
    </row>
    <row r="47" customFormat="false" ht="34.5" hidden="false" customHeight="true" outlineLevel="0" collapsed="false">
      <c r="A47" s="3" t="s">
        <v>156</v>
      </c>
      <c r="B47" s="3" t="n">
        <v>54</v>
      </c>
      <c r="C47" s="3" t="s">
        <v>29</v>
      </c>
      <c r="D47" s="3" t="s">
        <v>30</v>
      </c>
      <c r="E47" s="4" t="n">
        <v>11.7</v>
      </c>
      <c r="F47" s="4" t="n">
        <v>1</v>
      </c>
      <c r="G47" s="3" t="n">
        <v>271</v>
      </c>
      <c r="H47" s="4" t="n">
        <v>42.9</v>
      </c>
      <c r="I47" s="5" t="s">
        <v>157</v>
      </c>
      <c r="J47" s="3" t="s">
        <v>19</v>
      </c>
      <c r="K47" s="3" t="s">
        <v>19</v>
      </c>
      <c r="L47" s="5" t="s">
        <v>158</v>
      </c>
      <c r="M47" s="6" t="s">
        <v>89</v>
      </c>
      <c r="N47" s="6" t="s">
        <v>22</v>
      </c>
      <c r="O47" s="6" t="s">
        <v>23</v>
      </c>
    </row>
    <row r="48" customFormat="false" ht="34.5" hidden="false" customHeight="true" outlineLevel="0" collapsed="false">
      <c r="A48" s="3" t="s">
        <v>159</v>
      </c>
      <c r="B48" s="3" t="n">
        <v>37</v>
      </c>
      <c r="C48" s="3" t="s">
        <v>29</v>
      </c>
      <c r="D48" s="3" t="s">
        <v>49</v>
      </c>
      <c r="E48" s="4" t="n">
        <v>6.3</v>
      </c>
      <c r="F48" s="4" t="n">
        <v>0.9</v>
      </c>
      <c r="G48" s="3" t="n">
        <v>167</v>
      </c>
      <c r="H48" s="4" t="n">
        <v>23.1</v>
      </c>
      <c r="I48" s="5" t="s">
        <v>160</v>
      </c>
      <c r="J48" s="3" t="s">
        <v>19</v>
      </c>
      <c r="K48" s="3" t="s">
        <v>19</v>
      </c>
      <c r="L48" s="5" t="s">
        <v>161</v>
      </c>
      <c r="M48" s="6" t="s">
        <v>21</v>
      </c>
      <c r="N48" s="6" t="s">
        <v>22</v>
      </c>
      <c r="O48" s="6" t="s">
        <v>22</v>
      </c>
    </row>
    <row r="49" customFormat="false" ht="45.75" hidden="false" customHeight="true" outlineLevel="0" collapsed="false">
      <c r="A49" s="3" t="s">
        <v>162</v>
      </c>
      <c r="B49" s="3" t="n">
        <v>34</v>
      </c>
      <c r="C49" s="3" t="s">
        <v>29</v>
      </c>
      <c r="D49" s="3" t="s">
        <v>101</v>
      </c>
      <c r="E49" s="4" t="n">
        <v>7.1</v>
      </c>
      <c r="F49" s="4" t="n">
        <v>1.3</v>
      </c>
      <c r="G49" s="3" t="n">
        <v>156</v>
      </c>
      <c r="H49" s="4" t="n">
        <v>31.5</v>
      </c>
      <c r="I49" s="5" t="s">
        <v>163</v>
      </c>
      <c r="J49" s="3" t="s">
        <v>19</v>
      </c>
      <c r="K49" s="3" t="s">
        <v>19</v>
      </c>
      <c r="L49" s="5" t="s">
        <v>164</v>
      </c>
      <c r="M49" s="6" t="s">
        <v>22</v>
      </c>
      <c r="N49" s="6" t="s">
        <v>22</v>
      </c>
      <c r="O49" s="6" t="s">
        <v>21</v>
      </c>
    </row>
    <row r="50" customFormat="false" ht="57" hidden="false" customHeight="true" outlineLevel="0" collapsed="false">
      <c r="A50" s="3" t="s">
        <v>165</v>
      </c>
      <c r="B50" s="3" t="n">
        <v>82</v>
      </c>
      <c r="C50" s="3" t="s">
        <v>16</v>
      </c>
      <c r="D50" s="3" t="s">
        <v>141</v>
      </c>
      <c r="E50" s="4" t="n">
        <v>9.3</v>
      </c>
      <c r="F50" s="4" t="n">
        <v>2.4</v>
      </c>
      <c r="G50" s="3" t="n">
        <v>234</v>
      </c>
      <c r="H50" s="4" t="n">
        <v>41.9</v>
      </c>
      <c r="I50" s="5" t="s">
        <v>166</v>
      </c>
      <c r="J50" s="3" t="s">
        <v>39</v>
      </c>
      <c r="K50" s="3" t="s">
        <v>19</v>
      </c>
      <c r="L50" s="5" t="s">
        <v>167</v>
      </c>
      <c r="M50" s="6" t="s">
        <v>23</v>
      </c>
      <c r="N50" s="6" t="s">
        <v>22</v>
      </c>
      <c r="O50" s="6" t="s">
        <v>21</v>
      </c>
    </row>
    <row r="51" customFormat="false" ht="45.75" hidden="false" customHeight="true" outlineLevel="0" collapsed="false">
      <c r="A51" s="3" t="s">
        <v>168</v>
      </c>
      <c r="B51" s="3" t="n">
        <v>45</v>
      </c>
      <c r="C51" s="3" t="s">
        <v>16</v>
      </c>
      <c r="D51" s="3" t="s">
        <v>169</v>
      </c>
      <c r="E51" s="4" t="n">
        <v>8.8</v>
      </c>
      <c r="F51" s="4" t="n">
        <v>1.9</v>
      </c>
      <c r="G51" s="3" t="n">
        <v>229</v>
      </c>
      <c r="H51" s="4" t="n">
        <v>28.1</v>
      </c>
      <c r="I51" s="5" t="s">
        <v>170</v>
      </c>
      <c r="J51" s="3" t="s">
        <v>19</v>
      </c>
      <c r="K51" s="3" t="s">
        <v>19</v>
      </c>
      <c r="L51" s="5" t="s">
        <v>171</v>
      </c>
      <c r="M51" s="6" t="s">
        <v>22</v>
      </c>
      <c r="N51" s="6" t="s">
        <v>22</v>
      </c>
      <c r="O51" s="6" t="s">
        <v>89</v>
      </c>
    </row>
    <row r="52" customFormat="false" ht="34.5" hidden="false" customHeight="true" outlineLevel="0" collapsed="false">
      <c r="A52" s="3" t="s">
        <v>172</v>
      </c>
      <c r="B52" s="3" t="n">
        <v>53</v>
      </c>
      <c r="C52" s="3" t="s">
        <v>29</v>
      </c>
      <c r="D52" s="3" t="s">
        <v>37</v>
      </c>
      <c r="E52" s="4" t="n">
        <v>11.7</v>
      </c>
      <c r="F52" s="4" t="n">
        <v>0.8</v>
      </c>
      <c r="G52" s="3" t="n">
        <v>256</v>
      </c>
      <c r="H52" s="4" t="n">
        <v>30.8</v>
      </c>
      <c r="I52" s="5" t="s">
        <v>127</v>
      </c>
      <c r="J52" s="3" t="s">
        <v>19</v>
      </c>
      <c r="K52" s="3" t="s">
        <v>19</v>
      </c>
      <c r="L52" s="5" t="s">
        <v>173</v>
      </c>
      <c r="M52" s="6" t="s">
        <v>21</v>
      </c>
      <c r="N52" s="6" t="s">
        <v>22</v>
      </c>
      <c r="O52" s="6" t="s">
        <v>23</v>
      </c>
    </row>
    <row r="53" customFormat="false" ht="23.25" hidden="false" customHeight="true" outlineLevel="0" collapsed="false">
      <c r="A53" s="3" t="s">
        <v>174</v>
      </c>
      <c r="B53" s="3" t="n">
        <v>35</v>
      </c>
      <c r="C53" s="3" t="s">
        <v>29</v>
      </c>
      <c r="D53" s="3" t="s">
        <v>30</v>
      </c>
      <c r="E53" s="4" t="n">
        <v>11.2</v>
      </c>
      <c r="F53" s="4" t="n">
        <v>0.7</v>
      </c>
      <c r="G53" s="3" t="n">
        <v>268</v>
      </c>
      <c r="H53" s="4" t="n">
        <v>33.1</v>
      </c>
      <c r="I53" s="5" t="s">
        <v>175</v>
      </c>
      <c r="J53" s="3" t="s">
        <v>19</v>
      </c>
      <c r="K53" s="3" t="s">
        <v>19</v>
      </c>
      <c r="L53" s="5" t="s">
        <v>176</v>
      </c>
      <c r="M53" s="6" t="s">
        <v>22</v>
      </c>
      <c r="N53" s="6" t="s">
        <v>22</v>
      </c>
      <c r="O53" s="6" t="s">
        <v>23</v>
      </c>
    </row>
    <row r="54" customFormat="false" ht="23.25" hidden="false" customHeight="true" outlineLevel="0" collapsed="false">
      <c r="A54" s="3" t="s">
        <v>177</v>
      </c>
      <c r="B54" s="3" t="n">
        <v>57</v>
      </c>
      <c r="C54" s="3" t="s">
        <v>29</v>
      </c>
      <c r="D54" s="3" t="s">
        <v>178</v>
      </c>
      <c r="E54" s="4" t="n">
        <v>7.9</v>
      </c>
      <c r="F54" s="4" t="n">
        <v>1.1</v>
      </c>
      <c r="G54" s="3" t="n">
        <v>229</v>
      </c>
      <c r="H54" s="4" t="n">
        <v>28.2</v>
      </c>
      <c r="I54" s="5" t="s">
        <v>71</v>
      </c>
      <c r="J54" s="3" t="s">
        <v>19</v>
      </c>
      <c r="K54" s="3" t="s">
        <v>19</v>
      </c>
      <c r="L54" s="5" t="s">
        <v>179</v>
      </c>
      <c r="M54" s="6" t="s">
        <v>22</v>
      </c>
      <c r="N54" s="6" t="s">
        <v>22</v>
      </c>
      <c r="O54" s="6" t="s">
        <v>22</v>
      </c>
    </row>
    <row r="55" customFormat="false" ht="45.75" hidden="false" customHeight="true" outlineLevel="0" collapsed="false">
      <c r="A55" s="3" t="s">
        <v>180</v>
      </c>
      <c r="B55" s="3" t="n">
        <v>59</v>
      </c>
      <c r="C55" s="3" t="s">
        <v>16</v>
      </c>
      <c r="D55" s="3" t="s">
        <v>17</v>
      </c>
      <c r="E55" s="4" t="n">
        <v>6.9</v>
      </c>
      <c r="F55" s="4" t="n">
        <v>1</v>
      </c>
      <c r="G55" s="3" t="n">
        <v>135</v>
      </c>
      <c r="H55" s="4" t="n">
        <v>25.6</v>
      </c>
      <c r="I55" s="5" t="s">
        <v>181</v>
      </c>
      <c r="J55" s="3" t="s">
        <v>19</v>
      </c>
      <c r="K55" s="3" t="s">
        <v>19</v>
      </c>
      <c r="L55" s="5" t="s">
        <v>182</v>
      </c>
      <c r="M55" s="6" t="s">
        <v>22</v>
      </c>
      <c r="N55" s="6" t="s">
        <v>22</v>
      </c>
      <c r="O55" s="6" t="s">
        <v>23</v>
      </c>
    </row>
    <row r="56" customFormat="false" ht="45.75" hidden="false" customHeight="true" outlineLevel="0" collapsed="false">
      <c r="A56" s="3" t="s">
        <v>183</v>
      </c>
      <c r="B56" s="3" t="n">
        <v>82</v>
      </c>
      <c r="C56" s="3" t="s">
        <v>16</v>
      </c>
      <c r="D56" s="3" t="s">
        <v>17</v>
      </c>
      <c r="E56" s="4" t="n">
        <v>9.3</v>
      </c>
      <c r="F56" s="4" t="n">
        <v>0.9</v>
      </c>
      <c r="G56" s="3" t="n">
        <v>199</v>
      </c>
      <c r="H56" s="4" t="n">
        <v>24.9</v>
      </c>
      <c r="I56" s="5" t="s">
        <v>184</v>
      </c>
      <c r="J56" s="3" t="s">
        <v>19</v>
      </c>
      <c r="K56" s="3" t="s">
        <v>19</v>
      </c>
      <c r="L56" s="5" t="s">
        <v>185</v>
      </c>
      <c r="M56" s="6" t="s">
        <v>89</v>
      </c>
      <c r="N56" s="6" t="s">
        <v>22</v>
      </c>
      <c r="O56" s="6" t="s">
        <v>23</v>
      </c>
    </row>
    <row r="57" customFormat="false" ht="34.5" hidden="false" customHeight="true" outlineLevel="0" collapsed="false">
      <c r="A57" s="3" t="s">
        <v>186</v>
      </c>
      <c r="B57" s="3" t="n">
        <v>73</v>
      </c>
      <c r="C57" s="3" t="s">
        <v>16</v>
      </c>
      <c r="D57" s="3" t="s">
        <v>30</v>
      </c>
      <c r="E57" s="4" t="n">
        <v>11</v>
      </c>
      <c r="F57" s="4" t="n">
        <v>1.2</v>
      </c>
      <c r="G57" s="3" t="n">
        <v>265</v>
      </c>
      <c r="H57" s="4" t="n">
        <v>35.7</v>
      </c>
      <c r="I57" s="5" t="s">
        <v>135</v>
      </c>
      <c r="J57" s="3" t="s">
        <v>19</v>
      </c>
      <c r="K57" s="3" t="s">
        <v>19</v>
      </c>
      <c r="L57" s="5" t="s">
        <v>187</v>
      </c>
      <c r="M57" s="6" t="s">
        <v>22</v>
      </c>
      <c r="N57" s="6" t="s">
        <v>22</v>
      </c>
      <c r="O57" s="6" t="s">
        <v>22</v>
      </c>
    </row>
    <row r="58" customFormat="false" ht="45.75" hidden="false" customHeight="true" outlineLevel="0" collapsed="false">
      <c r="A58" s="3" t="s">
        <v>188</v>
      </c>
      <c r="B58" s="3" t="n">
        <v>62</v>
      </c>
      <c r="C58" s="3" t="s">
        <v>29</v>
      </c>
      <c r="D58" s="3" t="s">
        <v>30</v>
      </c>
      <c r="E58" s="4" t="n">
        <v>9.9</v>
      </c>
      <c r="F58" s="4" t="n">
        <v>1.2</v>
      </c>
      <c r="G58" s="3" t="n">
        <v>215</v>
      </c>
      <c r="H58" s="4" t="n">
        <v>32.3</v>
      </c>
      <c r="I58" s="5" t="s">
        <v>181</v>
      </c>
      <c r="J58" s="3" t="s">
        <v>19</v>
      </c>
      <c r="K58" s="3" t="s">
        <v>19</v>
      </c>
      <c r="L58" s="5" t="s">
        <v>189</v>
      </c>
      <c r="M58" s="6" t="s">
        <v>21</v>
      </c>
      <c r="N58" s="6" t="s">
        <v>22</v>
      </c>
      <c r="O58" s="6" t="s">
        <v>23</v>
      </c>
    </row>
    <row r="59" customFormat="false" ht="34.5" hidden="false" customHeight="true" outlineLevel="0" collapsed="false">
      <c r="A59" s="3" t="s">
        <v>190</v>
      </c>
      <c r="B59" s="3" t="n">
        <v>69</v>
      </c>
      <c r="C59" s="3" t="s">
        <v>29</v>
      </c>
      <c r="D59" s="3" t="s">
        <v>37</v>
      </c>
      <c r="E59" s="4" t="n">
        <v>7.5</v>
      </c>
      <c r="F59" s="4" t="n">
        <v>1.2</v>
      </c>
      <c r="G59" s="3" t="n">
        <v>137</v>
      </c>
      <c r="H59" s="4" t="n">
        <v>40.4</v>
      </c>
      <c r="I59" s="5" t="s">
        <v>52</v>
      </c>
      <c r="J59" s="3" t="s">
        <v>19</v>
      </c>
      <c r="K59" s="3" t="s">
        <v>19</v>
      </c>
      <c r="L59" s="5" t="s">
        <v>191</v>
      </c>
      <c r="M59" s="6" t="s">
        <v>22</v>
      </c>
      <c r="N59" s="6" t="s">
        <v>22</v>
      </c>
      <c r="O59" s="6" t="s">
        <v>23</v>
      </c>
    </row>
    <row r="60" customFormat="false" ht="57" hidden="false" customHeight="true" outlineLevel="0" collapsed="false">
      <c r="A60" s="3" t="s">
        <v>192</v>
      </c>
      <c r="B60" s="3" t="n">
        <v>81</v>
      </c>
      <c r="C60" s="3" t="s">
        <v>16</v>
      </c>
      <c r="D60" s="3" t="s">
        <v>101</v>
      </c>
      <c r="E60" s="4" t="n">
        <v>10.8</v>
      </c>
      <c r="F60" s="4" t="n">
        <v>1.3</v>
      </c>
      <c r="G60" s="3" t="n">
        <v>262</v>
      </c>
      <c r="H60" s="4" t="n">
        <v>37.5</v>
      </c>
      <c r="I60" s="5" t="s">
        <v>193</v>
      </c>
      <c r="J60" s="3" t="s">
        <v>19</v>
      </c>
      <c r="K60" s="3" t="s">
        <v>19</v>
      </c>
      <c r="L60" s="5" t="s">
        <v>194</v>
      </c>
      <c r="M60" s="6" t="s">
        <v>21</v>
      </c>
      <c r="N60" s="6" t="s">
        <v>22</v>
      </c>
      <c r="O60" s="6" t="s">
        <v>21</v>
      </c>
    </row>
    <row r="61" customFormat="false" ht="23.25" hidden="false" customHeight="true" outlineLevel="0" collapsed="false">
      <c r="A61" s="3" t="s">
        <v>195</v>
      </c>
      <c r="B61" s="3" t="n">
        <v>46</v>
      </c>
      <c r="C61" s="3" t="s">
        <v>16</v>
      </c>
      <c r="D61" s="3" t="s">
        <v>178</v>
      </c>
      <c r="E61" s="4" t="n">
        <v>9.2</v>
      </c>
      <c r="F61" s="4" t="n">
        <v>1.2</v>
      </c>
      <c r="G61" s="3" t="n">
        <v>184</v>
      </c>
      <c r="H61" s="4" t="n">
        <v>29</v>
      </c>
      <c r="I61" s="5" t="s">
        <v>196</v>
      </c>
      <c r="J61" s="3" t="s">
        <v>19</v>
      </c>
      <c r="K61" s="3" t="s">
        <v>19</v>
      </c>
      <c r="L61" s="5" t="s">
        <v>197</v>
      </c>
      <c r="M61" s="6" t="s">
        <v>22</v>
      </c>
      <c r="N61" s="6" t="s">
        <v>22</v>
      </c>
      <c r="O61" s="6" t="s">
        <v>22</v>
      </c>
    </row>
    <row r="62" customFormat="false" ht="45.75" hidden="false" customHeight="true" outlineLevel="0" collapsed="false">
      <c r="A62" s="3" t="s">
        <v>198</v>
      </c>
      <c r="B62" s="3" t="n">
        <v>69</v>
      </c>
      <c r="C62" s="3" t="s">
        <v>29</v>
      </c>
      <c r="D62" s="3" t="s">
        <v>141</v>
      </c>
      <c r="E62" s="4" t="n">
        <v>9.6</v>
      </c>
      <c r="F62" s="4" t="n">
        <v>1.9</v>
      </c>
      <c r="G62" s="3" t="n">
        <v>199</v>
      </c>
      <c r="H62" s="4" t="n">
        <v>31.8</v>
      </c>
      <c r="I62" s="5" t="s">
        <v>199</v>
      </c>
      <c r="J62" s="3" t="s">
        <v>19</v>
      </c>
      <c r="K62" s="3" t="s">
        <v>19</v>
      </c>
      <c r="L62" s="5" t="s">
        <v>200</v>
      </c>
      <c r="M62" s="6" t="s">
        <v>22</v>
      </c>
      <c r="N62" s="6" t="s">
        <v>22</v>
      </c>
      <c r="O62" s="6" t="s">
        <v>21</v>
      </c>
    </row>
    <row r="63" customFormat="false" ht="23.25" hidden="false" customHeight="true" outlineLevel="0" collapsed="false">
      <c r="A63" s="3" t="s">
        <v>201</v>
      </c>
      <c r="B63" s="3" t="n">
        <v>45</v>
      </c>
      <c r="C63" s="3" t="s">
        <v>16</v>
      </c>
      <c r="D63" s="3" t="s">
        <v>25</v>
      </c>
      <c r="E63" s="4" t="n">
        <v>7.1</v>
      </c>
      <c r="F63" s="4" t="n">
        <v>0.9</v>
      </c>
      <c r="G63" s="3" t="n">
        <v>172</v>
      </c>
      <c r="H63" s="4" t="n">
        <v>33</v>
      </c>
      <c r="I63" s="5" t="s">
        <v>202</v>
      </c>
      <c r="J63" s="3" t="s">
        <v>19</v>
      </c>
      <c r="K63" s="3" t="s">
        <v>19</v>
      </c>
      <c r="L63" s="5" t="s">
        <v>203</v>
      </c>
      <c r="M63" s="6" t="s">
        <v>22</v>
      </c>
      <c r="N63" s="6" t="s">
        <v>22</v>
      </c>
      <c r="O63" s="6" t="s">
        <v>22</v>
      </c>
    </row>
    <row r="64" customFormat="false" ht="45.75" hidden="false" customHeight="true" outlineLevel="0" collapsed="false">
      <c r="A64" s="3" t="s">
        <v>204</v>
      </c>
      <c r="B64" s="3" t="n">
        <v>42</v>
      </c>
      <c r="C64" s="3" t="s">
        <v>16</v>
      </c>
      <c r="D64" s="3" t="s">
        <v>86</v>
      </c>
      <c r="E64" s="4" t="n">
        <v>8.5</v>
      </c>
      <c r="F64" s="4" t="n">
        <v>1.2</v>
      </c>
      <c r="G64" s="3" t="n">
        <v>171</v>
      </c>
      <c r="H64" s="4" t="n">
        <v>23.2</v>
      </c>
      <c r="I64" s="5" t="s">
        <v>205</v>
      </c>
      <c r="J64" s="3" t="s">
        <v>19</v>
      </c>
      <c r="K64" s="3" t="s">
        <v>19</v>
      </c>
      <c r="L64" s="5" t="s">
        <v>206</v>
      </c>
      <c r="M64" s="6" t="s">
        <v>21</v>
      </c>
      <c r="N64" s="6" t="s">
        <v>22</v>
      </c>
      <c r="O64" s="6" t="s">
        <v>22</v>
      </c>
    </row>
    <row r="65" customFormat="false" ht="34.5" hidden="false" customHeight="true" outlineLevel="0" collapsed="false">
      <c r="A65" s="3" t="s">
        <v>207</v>
      </c>
      <c r="B65" s="3" t="n">
        <v>36</v>
      </c>
      <c r="C65" s="3" t="s">
        <v>29</v>
      </c>
      <c r="D65" s="3" t="s">
        <v>30</v>
      </c>
      <c r="E65" s="4" t="n">
        <v>6.2</v>
      </c>
      <c r="F65" s="4" t="n">
        <v>1.1</v>
      </c>
      <c r="G65" s="3" t="n">
        <v>129</v>
      </c>
      <c r="H65" s="4" t="n">
        <v>35.5</v>
      </c>
      <c r="I65" s="5" t="s">
        <v>113</v>
      </c>
      <c r="J65" s="3" t="s">
        <v>19</v>
      </c>
      <c r="K65" s="3" t="s">
        <v>19</v>
      </c>
      <c r="L65" s="5" t="s">
        <v>208</v>
      </c>
      <c r="M65" s="6" t="s">
        <v>22</v>
      </c>
      <c r="N65" s="6" t="s">
        <v>89</v>
      </c>
      <c r="O65" s="6" t="s">
        <v>23</v>
      </c>
    </row>
    <row r="66" customFormat="false" ht="34.5" hidden="false" customHeight="true" outlineLevel="0" collapsed="false">
      <c r="A66" s="3" t="s">
        <v>209</v>
      </c>
      <c r="B66" s="3" t="n">
        <v>58</v>
      </c>
      <c r="C66" s="3" t="s">
        <v>16</v>
      </c>
      <c r="D66" s="3" t="s">
        <v>86</v>
      </c>
      <c r="E66" s="4" t="n">
        <v>9.9</v>
      </c>
      <c r="F66" s="4" t="n">
        <v>1.2</v>
      </c>
      <c r="G66" s="3" t="n">
        <v>230</v>
      </c>
      <c r="H66" s="4" t="n">
        <v>28.5</v>
      </c>
      <c r="I66" s="5" t="s">
        <v>210</v>
      </c>
      <c r="J66" s="3" t="s">
        <v>19</v>
      </c>
      <c r="K66" s="3" t="s">
        <v>19</v>
      </c>
      <c r="L66" s="5" t="s">
        <v>211</v>
      </c>
      <c r="M66" s="6" t="s">
        <v>22</v>
      </c>
      <c r="N66" s="6" t="s">
        <v>22</v>
      </c>
      <c r="O66" s="6" t="s">
        <v>23</v>
      </c>
    </row>
    <row r="67" customFormat="false" ht="34.5" hidden="false" customHeight="true" outlineLevel="0" collapsed="false">
      <c r="A67" s="3" t="s">
        <v>212</v>
      </c>
      <c r="B67" s="3" t="n">
        <v>58</v>
      </c>
      <c r="C67" s="3" t="s">
        <v>16</v>
      </c>
      <c r="D67" s="3" t="s">
        <v>30</v>
      </c>
      <c r="E67" s="4" t="n">
        <v>7.6</v>
      </c>
      <c r="F67" s="4" t="n">
        <v>1.2</v>
      </c>
      <c r="G67" s="3" t="n">
        <v>152</v>
      </c>
      <c r="H67" s="4" t="n">
        <v>41.2</v>
      </c>
      <c r="I67" s="5" t="s">
        <v>213</v>
      </c>
      <c r="J67" s="3" t="s">
        <v>19</v>
      </c>
      <c r="K67" s="3" t="s">
        <v>19</v>
      </c>
      <c r="L67" s="5" t="s">
        <v>214</v>
      </c>
      <c r="M67" s="6" t="s">
        <v>21</v>
      </c>
      <c r="N67" s="6" t="s">
        <v>22</v>
      </c>
      <c r="O67" s="6" t="s">
        <v>21</v>
      </c>
    </row>
    <row r="68" customFormat="false" ht="45.75" hidden="false" customHeight="true" outlineLevel="0" collapsed="false">
      <c r="A68" s="3" t="s">
        <v>215</v>
      </c>
      <c r="B68" s="3" t="n">
        <v>48</v>
      </c>
      <c r="C68" s="3" t="s">
        <v>29</v>
      </c>
      <c r="D68" s="3" t="s">
        <v>17</v>
      </c>
      <c r="E68" s="4" t="n">
        <v>10.6</v>
      </c>
      <c r="F68" s="4" t="n">
        <v>1.2</v>
      </c>
      <c r="G68" s="3" t="n">
        <v>247</v>
      </c>
      <c r="H68" s="4" t="n">
        <v>22.4</v>
      </c>
      <c r="I68" s="5" t="s">
        <v>216</v>
      </c>
      <c r="J68" s="3" t="s">
        <v>39</v>
      </c>
      <c r="K68" s="3" t="s">
        <v>19</v>
      </c>
      <c r="L68" s="5" t="s">
        <v>217</v>
      </c>
      <c r="M68" s="6" t="s">
        <v>23</v>
      </c>
      <c r="N68" s="6" t="s">
        <v>22</v>
      </c>
      <c r="O68" s="6" t="s">
        <v>23</v>
      </c>
    </row>
    <row r="69" customFormat="false" ht="34.5" hidden="false" customHeight="true" outlineLevel="0" collapsed="false">
      <c r="A69" s="3" t="s">
        <v>218</v>
      </c>
      <c r="B69" s="3" t="n">
        <v>73</v>
      </c>
      <c r="C69" s="3" t="s">
        <v>16</v>
      </c>
      <c r="D69" s="3" t="s">
        <v>70</v>
      </c>
      <c r="E69" s="4" t="n">
        <v>8.2</v>
      </c>
      <c r="F69" s="4" t="n">
        <v>1.7</v>
      </c>
      <c r="G69" s="3" t="n">
        <v>181</v>
      </c>
      <c r="H69" s="4" t="n">
        <v>25</v>
      </c>
      <c r="I69" s="5" t="s">
        <v>219</v>
      </c>
      <c r="J69" s="3" t="s">
        <v>19</v>
      </c>
      <c r="K69" s="3" t="s">
        <v>19</v>
      </c>
      <c r="L69" s="5" t="s">
        <v>220</v>
      </c>
      <c r="M69" s="6" t="s">
        <v>22</v>
      </c>
      <c r="N69" s="6" t="s">
        <v>22</v>
      </c>
      <c r="O69" s="6" t="s">
        <v>23</v>
      </c>
    </row>
    <row r="70" customFormat="false" ht="45.75" hidden="false" customHeight="true" outlineLevel="0" collapsed="false">
      <c r="A70" s="3" t="s">
        <v>221</v>
      </c>
      <c r="B70" s="3" t="n">
        <v>43</v>
      </c>
      <c r="C70" s="3" t="s">
        <v>16</v>
      </c>
      <c r="D70" s="3" t="s">
        <v>178</v>
      </c>
      <c r="E70" s="4" t="n">
        <v>9.4</v>
      </c>
      <c r="F70" s="4" t="n">
        <v>0.6</v>
      </c>
      <c r="G70" s="3" t="n">
        <v>212</v>
      </c>
      <c r="H70" s="4" t="n">
        <v>24.1</v>
      </c>
      <c r="I70" s="5" t="s">
        <v>222</v>
      </c>
      <c r="J70" s="3" t="s">
        <v>19</v>
      </c>
      <c r="K70" s="3" t="s">
        <v>19</v>
      </c>
      <c r="L70" s="5" t="s">
        <v>223</v>
      </c>
      <c r="M70" s="6" t="s">
        <v>22</v>
      </c>
      <c r="N70" s="6" t="s">
        <v>22</v>
      </c>
      <c r="O70" s="6" t="s">
        <v>23</v>
      </c>
    </row>
    <row r="71" customFormat="false" ht="45.75" hidden="false" customHeight="true" outlineLevel="0" collapsed="false">
      <c r="A71" s="3" t="s">
        <v>224</v>
      </c>
      <c r="B71" s="3" t="n">
        <v>20</v>
      </c>
      <c r="C71" s="3" t="s">
        <v>29</v>
      </c>
      <c r="D71" s="3" t="s">
        <v>178</v>
      </c>
      <c r="E71" s="4" t="n">
        <v>10.7</v>
      </c>
      <c r="F71" s="4" t="n">
        <v>0.7</v>
      </c>
      <c r="G71" s="3" t="n">
        <v>256</v>
      </c>
      <c r="H71" s="4" t="n">
        <v>26</v>
      </c>
      <c r="I71" s="5" t="s">
        <v>225</v>
      </c>
      <c r="J71" s="3" t="s">
        <v>19</v>
      </c>
      <c r="K71" s="3" t="s">
        <v>19</v>
      </c>
      <c r="L71" s="5" t="s">
        <v>226</v>
      </c>
      <c r="M71" s="6" t="s">
        <v>22</v>
      </c>
      <c r="N71" s="6" t="s">
        <v>21</v>
      </c>
      <c r="O71" s="6" t="s">
        <v>23</v>
      </c>
    </row>
    <row r="72" customFormat="false" ht="45.75" hidden="false" customHeight="true" outlineLevel="0" collapsed="false">
      <c r="A72" s="3" t="s">
        <v>227</v>
      </c>
      <c r="B72" s="3" t="n">
        <v>55</v>
      </c>
      <c r="C72" s="3" t="s">
        <v>16</v>
      </c>
      <c r="D72" s="3" t="s">
        <v>101</v>
      </c>
      <c r="E72" s="4" t="n">
        <v>11.3</v>
      </c>
      <c r="F72" s="4" t="n">
        <v>0.9</v>
      </c>
      <c r="G72" s="3" t="n">
        <v>290</v>
      </c>
      <c r="H72" s="4" t="n">
        <v>34.5</v>
      </c>
      <c r="I72" s="5" t="s">
        <v>228</v>
      </c>
      <c r="J72" s="3" t="s">
        <v>39</v>
      </c>
      <c r="K72" s="3" t="s">
        <v>19</v>
      </c>
      <c r="L72" s="5" t="s">
        <v>229</v>
      </c>
      <c r="M72" s="6" t="s">
        <v>23</v>
      </c>
      <c r="N72" s="6" t="s">
        <v>22</v>
      </c>
      <c r="O72" s="6" t="s">
        <v>23</v>
      </c>
    </row>
    <row r="73" customFormat="false" ht="34.5" hidden="false" customHeight="true" outlineLevel="0" collapsed="false">
      <c r="A73" s="3" t="s">
        <v>230</v>
      </c>
      <c r="B73" s="3" t="n">
        <v>41</v>
      </c>
      <c r="C73" s="3" t="s">
        <v>29</v>
      </c>
      <c r="D73" s="3" t="s">
        <v>86</v>
      </c>
      <c r="E73" s="4" t="n">
        <v>11</v>
      </c>
      <c r="F73" s="4" t="n">
        <v>1</v>
      </c>
      <c r="G73" s="3" t="n">
        <v>270</v>
      </c>
      <c r="H73" s="4" t="n">
        <v>26.6</v>
      </c>
      <c r="I73" s="5" t="s">
        <v>228</v>
      </c>
      <c r="J73" s="3" t="s">
        <v>19</v>
      </c>
      <c r="K73" s="3" t="s">
        <v>19</v>
      </c>
      <c r="L73" s="5" t="s">
        <v>231</v>
      </c>
      <c r="M73" s="6" t="s">
        <v>22</v>
      </c>
      <c r="N73" s="6" t="s">
        <v>22</v>
      </c>
      <c r="O73" s="6" t="s">
        <v>23</v>
      </c>
    </row>
    <row r="74" customFormat="false" ht="45.75" hidden="false" customHeight="true" outlineLevel="0" collapsed="false">
      <c r="A74" s="3" t="s">
        <v>232</v>
      </c>
      <c r="B74" s="3" t="n">
        <v>59</v>
      </c>
      <c r="C74" s="3" t="s">
        <v>16</v>
      </c>
      <c r="D74" s="3" t="s">
        <v>101</v>
      </c>
      <c r="E74" s="4" t="n">
        <v>8.9</v>
      </c>
      <c r="F74" s="4" t="n">
        <v>1.1</v>
      </c>
      <c r="G74" s="3" t="n">
        <v>168</v>
      </c>
      <c r="H74" s="4" t="n">
        <v>38</v>
      </c>
      <c r="I74" s="5" t="s">
        <v>233</v>
      </c>
      <c r="J74" s="3" t="s">
        <v>19</v>
      </c>
      <c r="K74" s="3" t="s">
        <v>19</v>
      </c>
      <c r="L74" s="5" t="s">
        <v>234</v>
      </c>
      <c r="M74" s="6" t="s">
        <v>22</v>
      </c>
      <c r="N74" s="6" t="s">
        <v>22</v>
      </c>
      <c r="O74" s="6" t="s">
        <v>23</v>
      </c>
    </row>
    <row r="75" customFormat="false" ht="34.5" hidden="false" customHeight="true" outlineLevel="0" collapsed="false">
      <c r="A75" s="3" t="s">
        <v>235</v>
      </c>
      <c r="B75" s="3" t="n">
        <v>74</v>
      </c>
      <c r="C75" s="3" t="s">
        <v>29</v>
      </c>
      <c r="D75" s="3" t="s">
        <v>178</v>
      </c>
      <c r="E75" s="4" t="n">
        <v>10.9</v>
      </c>
      <c r="F75" s="4" t="n">
        <v>0.8</v>
      </c>
      <c r="G75" s="3" t="n">
        <v>271</v>
      </c>
      <c r="H75" s="4" t="n">
        <v>23.4</v>
      </c>
      <c r="I75" s="5" t="s">
        <v>236</v>
      </c>
      <c r="J75" s="3" t="s">
        <v>19</v>
      </c>
      <c r="K75" s="3" t="s">
        <v>19</v>
      </c>
      <c r="L75" s="5" t="s">
        <v>237</v>
      </c>
      <c r="M75" s="6" t="s">
        <v>22</v>
      </c>
      <c r="N75" s="6" t="s">
        <v>22</v>
      </c>
      <c r="O75" s="6" t="s">
        <v>23</v>
      </c>
    </row>
    <row r="76" customFormat="false" ht="23.25" hidden="false" customHeight="true" outlineLevel="0" collapsed="false">
      <c r="A76" s="3" t="s">
        <v>238</v>
      </c>
      <c r="B76" s="3" t="n">
        <v>76</v>
      </c>
      <c r="C76" s="3" t="s">
        <v>29</v>
      </c>
      <c r="D76" s="3" t="s">
        <v>17</v>
      </c>
      <c r="E76" s="4" t="n">
        <v>7.3</v>
      </c>
      <c r="F76" s="4" t="n">
        <v>1.3</v>
      </c>
      <c r="G76" s="3" t="n">
        <v>131</v>
      </c>
      <c r="H76" s="4" t="n">
        <v>23.7</v>
      </c>
      <c r="I76" s="5" t="s">
        <v>18</v>
      </c>
      <c r="J76" s="3" t="s">
        <v>19</v>
      </c>
      <c r="K76" s="3" t="s">
        <v>19</v>
      </c>
      <c r="L76" s="5" t="s">
        <v>239</v>
      </c>
      <c r="M76" s="6" t="s">
        <v>22</v>
      </c>
      <c r="N76" s="6" t="s">
        <v>22</v>
      </c>
      <c r="O76" s="6" t="s">
        <v>23</v>
      </c>
    </row>
    <row r="77" customFormat="false" ht="34.5" hidden="false" customHeight="true" outlineLevel="0" collapsed="false">
      <c r="A77" s="3" t="s">
        <v>240</v>
      </c>
      <c r="B77" s="3" t="n">
        <v>57</v>
      </c>
      <c r="C77" s="3" t="s">
        <v>16</v>
      </c>
      <c r="D77" s="3" t="s">
        <v>37</v>
      </c>
      <c r="E77" s="4" t="n">
        <v>9.8</v>
      </c>
      <c r="F77" s="4" t="n">
        <v>1.1</v>
      </c>
      <c r="G77" s="3" t="n">
        <v>207</v>
      </c>
      <c r="H77" s="4" t="n">
        <v>42.5</v>
      </c>
      <c r="I77" s="5" t="s">
        <v>58</v>
      </c>
      <c r="J77" s="3" t="s">
        <v>19</v>
      </c>
      <c r="K77" s="3" t="s">
        <v>19</v>
      </c>
      <c r="L77" s="5" t="s">
        <v>241</v>
      </c>
      <c r="M77" s="6" t="s">
        <v>22</v>
      </c>
      <c r="N77" s="6" t="s">
        <v>22</v>
      </c>
      <c r="O77" s="6" t="s">
        <v>23</v>
      </c>
    </row>
    <row r="78" customFormat="false" ht="34.5" hidden="false" customHeight="true" outlineLevel="0" collapsed="false">
      <c r="A78" s="3" t="s">
        <v>242</v>
      </c>
      <c r="B78" s="3" t="n">
        <v>66</v>
      </c>
      <c r="C78" s="3" t="s">
        <v>29</v>
      </c>
      <c r="D78" s="3" t="s">
        <v>49</v>
      </c>
      <c r="E78" s="4" t="n">
        <v>10.6</v>
      </c>
      <c r="F78" s="4" t="n">
        <v>0.6</v>
      </c>
      <c r="G78" s="3" t="n">
        <v>229</v>
      </c>
      <c r="H78" s="4" t="n">
        <v>28.8</v>
      </c>
      <c r="I78" s="5" t="s">
        <v>243</v>
      </c>
      <c r="J78" s="3" t="s">
        <v>19</v>
      </c>
      <c r="K78" s="3" t="s">
        <v>19</v>
      </c>
      <c r="L78" s="5" t="s">
        <v>244</v>
      </c>
      <c r="M78" s="6" t="s">
        <v>21</v>
      </c>
      <c r="N78" s="6" t="s">
        <v>22</v>
      </c>
      <c r="O78" s="6" t="s">
        <v>22</v>
      </c>
    </row>
    <row r="79" customFormat="false" ht="34.5" hidden="false" customHeight="true" outlineLevel="0" collapsed="false">
      <c r="A79" s="3" t="s">
        <v>245</v>
      </c>
      <c r="B79" s="3" t="n">
        <v>28</v>
      </c>
      <c r="C79" s="3" t="s">
        <v>29</v>
      </c>
      <c r="D79" s="3" t="s">
        <v>246</v>
      </c>
      <c r="E79" s="4" t="n">
        <v>10.7</v>
      </c>
      <c r="F79" s="4" t="n">
        <v>2.1</v>
      </c>
      <c r="G79" s="3" t="n">
        <v>252</v>
      </c>
      <c r="H79" s="4" t="n">
        <v>22</v>
      </c>
      <c r="I79" s="5" t="s">
        <v>113</v>
      </c>
      <c r="J79" s="3" t="s">
        <v>19</v>
      </c>
      <c r="K79" s="3" t="s">
        <v>19</v>
      </c>
      <c r="L79" s="5" t="s">
        <v>247</v>
      </c>
      <c r="M79" s="6" t="s">
        <v>22</v>
      </c>
      <c r="N79" s="6" t="s">
        <v>21</v>
      </c>
      <c r="O79" s="6" t="s">
        <v>89</v>
      </c>
    </row>
    <row r="80" customFormat="false" ht="45.75" hidden="false" customHeight="true" outlineLevel="0" collapsed="false">
      <c r="A80" s="3" t="s">
        <v>248</v>
      </c>
      <c r="B80" s="3" t="n">
        <v>70</v>
      </c>
      <c r="C80" s="3" t="s">
        <v>16</v>
      </c>
      <c r="D80" s="3" t="s">
        <v>49</v>
      </c>
      <c r="E80" s="4" t="n">
        <v>9.3</v>
      </c>
      <c r="F80" s="4" t="n">
        <v>0.9</v>
      </c>
      <c r="G80" s="3" t="n">
        <v>203</v>
      </c>
      <c r="H80" s="4" t="n">
        <v>29.4</v>
      </c>
      <c r="I80" s="5" t="s">
        <v>83</v>
      </c>
      <c r="J80" s="3" t="s">
        <v>19</v>
      </c>
      <c r="K80" s="3" t="s">
        <v>19</v>
      </c>
      <c r="L80" s="5" t="s">
        <v>249</v>
      </c>
      <c r="M80" s="6" t="s">
        <v>22</v>
      </c>
      <c r="N80" s="6" t="s">
        <v>22</v>
      </c>
      <c r="O80" s="6" t="s">
        <v>21</v>
      </c>
    </row>
    <row r="81" customFormat="false" ht="34.5" hidden="false" customHeight="true" outlineLevel="0" collapsed="false">
      <c r="A81" s="3" t="s">
        <v>250</v>
      </c>
      <c r="B81" s="3" t="n">
        <v>57</v>
      </c>
      <c r="C81" s="3" t="s">
        <v>16</v>
      </c>
      <c r="D81" s="3" t="s">
        <v>17</v>
      </c>
      <c r="E81" s="4" t="n">
        <v>7.7</v>
      </c>
      <c r="F81" s="4" t="n">
        <v>0.6</v>
      </c>
      <c r="G81" s="3" t="n">
        <v>163</v>
      </c>
      <c r="H81" s="4" t="n">
        <v>26</v>
      </c>
      <c r="I81" s="5" t="s">
        <v>18</v>
      </c>
      <c r="J81" s="3" t="s">
        <v>19</v>
      </c>
      <c r="K81" s="3" t="s">
        <v>19</v>
      </c>
      <c r="L81" s="5" t="s">
        <v>251</v>
      </c>
      <c r="M81" s="6" t="s">
        <v>22</v>
      </c>
      <c r="N81" s="6" t="s">
        <v>22</v>
      </c>
      <c r="O81" s="6" t="s">
        <v>23</v>
      </c>
    </row>
    <row r="82" customFormat="false" ht="45.75" hidden="false" customHeight="true" outlineLevel="0" collapsed="false">
      <c r="A82" s="3" t="s">
        <v>252</v>
      </c>
      <c r="B82" s="3" t="n">
        <v>31</v>
      </c>
      <c r="C82" s="3" t="s">
        <v>29</v>
      </c>
      <c r="D82" s="3" t="s">
        <v>17</v>
      </c>
      <c r="E82" s="4" t="n">
        <v>11.2</v>
      </c>
      <c r="F82" s="4" t="n">
        <v>1</v>
      </c>
      <c r="G82" s="3" t="n">
        <v>246</v>
      </c>
      <c r="H82" s="4" t="n">
        <v>22.2</v>
      </c>
      <c r="I82" s="5" t="s">
        <v>253</v>
      </c>
      <c r="J82" s="3" t="s">
        <v>19</v>
      </c>
      <c r="K82" s="3" t="s">
        <v>19</v>
      </c>
      <c r="L82" s="5" t="s">
        <v>254</v>
      </c>
      <c r="M82" s="6" t="s">
        <v>22</v>
      </c>
      <c r="N82" s="6" t="s">
        <v>89</v>
      </c>
      <c r="O82" s="6" t="s">
        <v>21</v>
      </c>
    </row>
    <row r="83" customFormat="false" ht="34.5" hidden="false" customHeight="true" outlineLevel="0" collapsed="false">
      <c r="A83" s="3" t="s">
        <v>255</v>
      </c>
      <c r="B83" s="3" t="n">
        <v>72</v>
      </c>
      <c r="C83" s="3" t="s">
        <v>29</v>
      </c>
      <c r="D83" s="3" t="s">
        <v>49</v>
      </c>
      <c r="E83" s="4" t="n">
        <v>7.5</v>
      </c>
      <c r="F83" s="4" t="n">
        <v>0.6</v>
      </c>
      <c r="G83" s="3" t="n">
        <v>146</v>
      </c>
      <c r="H83" s="4" t="n">
        <v>23.3</v>
      </c>
      <c r="I83" s="5" t="s">
        <v>58</v>
      </c>
      <c r="J83" s="3" t="s">
        <v>19</v>
      </c>
      <c r="K83" s="3" t="s">
        <v>19</v>
      </c>
      <c r="L83" s="5" t="s">
        <v>256</v>
      </c>
      <c r="M83" s="6" t="s">
        <v>21</v>
      </c>
      <c r="N83" s="6" t="s">
        <v>22</v>
      </c>
      <c r="O83" s="6" t="s">
        <v>23</v>
      </c>
    </row>
    <row r="84" customFormat="false" ht="34.5" hidden="false" customHeight="true" outlineLevel="0" collapsed="false">
      <c r="A84" s="3" t="s">
        <v>257</v>
      </c>
      <c r="B84" s="3" t="n">
        <v>40</v>
      </c>
      <c r="C84" s="3" t="s">
        <v>29</v>
      </c>
      <c r="D84" s="3" t="s">
        <v>37</v>
      </c>
      <c r="E84" s="4" t="n">
        <v>11.3</v>
      </c>
      <c r="F84" s="4" t="n">
        <v>1.2</v>
      </c>
      <c r="G84" s="3" t="n">
        <v>262</v>
      </c>
      <c r="H84" s="4" t="n">
        <v>37.2</v>
      </c>
      <c r="I84" s="5" t="s">
        <v>52</v>
      </c>
      <c r="J84" s="3" t="s">
        <v>39</v>
      </c>
      <c r="K84" s="3" t="s">
        <v>19</v>
      </c>
      <c r="L84" s="5" t="s">
        <v>258</v>
      </c>
      <c r="M84" s="6" t="s">
        <v>23</v>
      </c>
      <c r="N84" s="6" t="s">
        <v>22</v>
      </c>
      <c r="O84" s="6" t="s">
        <v>23</v>
      </c>
    </row>
    <row r="85" customFormat="false" ht="34.5" hidden="false" customHeight="true" outlineLevel="0" collapsed="false">
      <c r="A85" s="3" t="s">
        <v>259</v>
      </c>
      <c r="B85" s="3" t="n">
        <v>40</v>
      </c>
      <c r="C85" s="3" t="s">
        <v>16</v>
      </c>
      <c r="D85" s="3" t="s">
        <v>101</v>
      </c>
      <c r="E85" s="4" t="n">
        <v>8.6</v>
      </c>
      <c r="F85" s="4" t="n">
        <v>1.1</v>
      </c>
      <c r="G85" s="3" t="n">
        <v>185</v>
      </c>
      <c r="H85" s="4" t="n">
        <v>38.5</v>
      </c>
      <c r="I85" s="5" t="s">
        <v>260</v>
      </c>
      <c r="J85" s="3" t="s">
        <v>19</v>
      </c>
      <c r="K85" s="3" t="s">
        <v>19</v>
      </c>
      <c r="L85" s="5" t="s">
        <v>261</v>
      </c>
      <c r="M85" s="6" t="s">
        <v>22</v>
      </c>
      <c r="N85" s="6" t="s">
        <v>22</v>
      </c>
      <c r="O85" s="6" t="s">
        <v>22</v>
      </c>
    </row>
    <row r="86" customFormat="false" ht="34.5" hidden="false" customHeight="true" outlineLevel="0" collapsed="false">
      <c r="A86" s="3" t="s">
        <v>262</v>
      </c>
      <c r="B86" s="3" t="n">
        <v>54</v>
      </c>
      <c r="C86" s="3" t="s">
        <v>29</v>
      </c>
      <c r="D86" s="3" t="s">
        <v>30</v>
      </c>
      <c r="E86" s="4" t="n">
        <v>8</v>
      </c>
      <c r="F86" s="4" t="n">
        <v>1</v>
      </c>
      <c r="G86" s="3" t="n">
        <v>169</v>
      </c>
      <c r="H86" s="4" t="n">
        <v>36.7</v>
      </c>
      <c r="I86" s="5" t="s">
        <v>142</v>
      </c>
      <c r="J86" s="3" t="s">
        <v>19</v>
      </c>
      <c r="K86" s="3" t="s">
        <v>19</v>
      </c>
      <c r="L86" s="5" t="s">
        <v>263</v>
      </c>
      <c r="M86" s="6" t="s">
        <v>89</v>
      </c>
      <c r="N86" s="6" t="s">
        <v>22</v>
      </c>
      <c r="O86" s="6" t="s">
        <v>22</v>
      </c>
    </row>
    <row r="87" customFormat="false" ht="45.75" hidden="false" customHeight="true" outlineLevel="0" collapsed="false">
      <c r="A87" s="3" t="s">
        <v>264</v>
      </c>
      <c r="B87" s="3" t="n">
        <v>77</v>
      </c>
      <c r="C87" s="3" t="s">
        <v>29</v>
      </c>
      <c r="D87" s="3" t="s">
        <v>17</v>
      </c>
      <c r="E87" s="4" t="n">
        <v>8.6</v>
      </c>
      <c r="F87" s="4" t="n">
        <v>1</v>
      </c>
      <c r="G87" s="3" t="n">
        <v>231</v>
      </c>
      <c r="H87" s="4" t="n">
        <v>24.2</v>
      </c>
      <c r="I87" s="5" t="s">
        <v>265</v>
      </c>
      <c r="J87" s="3" t="s">
        <v>19</v>
      </c>
      <c r="K87" s="3" t="s">
        <v>19</v>
      </c>
      <c r="L87" s="5" t="s">
        <v>266</v>
      </c>
      <c r="M87" s="6" t="s">
        <v>89</v>
      </c>
      <c r="N87" s="6" t="s">
        <v>22</v>
      </c>
      <c r="O87" s="6" t="s">
        <v>23</v>
      </c>
    </row>
    <row r="88" customFormat="false" ht="34.5" hidden="false" customHeight="true" outlineLevel="0" collapsed="false">
      <c r="A88" s="3" t="s">
        <v>267</v>
      </c>
      <c r="B88" s="3" t="n">
        <v>45</v>
      </c>
      <c r="C88" s="3" t="s">
        <v>16</v>
      </c>
      <c r="D88" s="3" t="s">
        <v>101</v>
      </c>
      <c r="E88" s="4" t="n">
        <v>6.7</v>
      </c>
      <c r="F88" s="4" t="n">
        <v>0.9</v>
      </c>
      <c r="G88" s="3" t="n">
        <v>146</v>
      </c>
      <c r="H88" s="4" t="n">
        <v>34.7</v>
      </c>
      <c r="I88" s="5" t="s">
        <v>268</v>
      </c>
      <c r="J88" s="3" t="s">
        <v>19</v>
      </c>
      <c r="K88" s="3" t="s">
        <v>19</v>
      </c>
      <c r="L88" s="5" t="s">
        <v>269</v>
      </c>
      <c r="M88" s="6" t="s">
        <v>89</v>
      </c>
      <c r="N88" s="6" t="s">
        <v>22</v>
      </c>
      <c r="O88" s="6" t="s">
        <v>23</v>
      </c>
    </row>
    <row r="89" customFormat="false" ht="23.25" hidden="false" customHeight="true" outlineLevel="0" collapsed="false">
      <c r="A89" s="3" t="s">
        <v>270</v>
      </c>
      <c r="B89" s="3" t="n">
        <v>62</v>
      </c>
      <c r="C89" s="3" t="s">
        <v>29</v>
      </c>
      <c r="D89" s="3" t="s">
        <v>17</v>
      </c>
      <c r="E89" s="4" t="n">
        <v>10.8</v>
      </c>
      <c r="F89" s="4" t="n">
        <v>1.2</v>
      </c>
      <c r="G89" s="3" t="n">
        <v>258</v>
      </c>
      <c r="H89" s="4" t="n">
        <v>25.3</v>
      </c>
      <c r="I89" s="5" t="s">
        <v>55</v>
      </c>
      <c r="J89" s="3" t="s">
        <v>19</v>
      </c>
      <c r="K89" s="3" t="s">
        <v>19</v>
      </c>
      <c r="L89" s="5" t="s">
        <v>271</v>
      </c>
      <c r="M89" s="6" t="s">
        <v>22</v>
      </c>
      <c r="N89" s="6" t="s">
        <v>22</v>
      </c>
      <c r="O89" s="6" t="s">
        <v>23</v>
      </c>
    </row>
    <row r="90" customFormat="false" ht="23.25" hidden="false" customHeight="true" outlineLevel="0" collapsed="false">
      <c r="A90" s="3" t="s">
        <v>272</v>
      </c>
      <c r="B90" s="3" t="n">
        <v>55</v>
      </c>
      <c r="C90" s="3" t="s">
        <v>29</v>
      </c>
      <c r="D90" s="3" t="s">
        <v>101</v>
      </c>
      <c r="E90" s="4" t="n">
        <v>11.8</v>
      </c>
      <c r="F90" s="4" t="n">
        <v>0.7</v>
      </c>
      <c r="G90" s="3" t="n">
        <v>278</v>
      </c>
      <c r="H90" s="4" t="n">
        <v>33.2</v>
      </c>
      <c r="I90" s="5" t="s">
        <v>205</v>
      </c>
      <c r="J90" s="3" t="s">
        <v>19</v>
      </c>
      <c r="K90" s="3" t="s">
        <v>19</v>
      </c>
      <c r="L90" s="5" t="s">
        <v>273</v>
      </c>
      <c r="M90" s="6" t="s">
        <v>22</v>
      </c>
      <c r="N90" s="6" t="s">
        <v>22</v>
      </c>
      <c r="O90" s="6" t="s">
        <v>23</v>
      </c>
    </row>
    <row r="91" customFormat="false" ht="23.25" hidden="false" customHeight="true" outlineLevel="0" collapsed="false">
      <c r="A91" s="3" t="s">
        <v>274</v>
      </c>
      <c r="B91" s="3" t="n">
        <v>60</v>
      </c>
      <c r="C91" s="3" t="s">
        <v>29</v>
      </c>
      <c r="D91" s="3" t="s">
        <v>17</v>
      </c>
      <c r="E91" s="4" t="n">
        <v>8</v>
      </c>
      <c r="F91" s="4" t="n">
        <v>0.7</v>
      </c>
      <c r="G91" s="3" t="n">
        <v>171</v>
      </c>
      <c r="H91" s="4" t="n">
        <v>26</v>
      </c>
      <c r="I91" s="5" t="s">
        <v>64</v>
      </c>
      <c r="J91" s="3" t="s">
        <v>19</v>
      </c>
      <c r="K91" s="3" t="s">
        <v>19</v>
      </c>
      <c r="L91" s="5" t="s">
        <v>275</v>
      </c>
      <c r="M91" s="6" t="s">
        <v>22</v>
      </c>
      <c r="N91" s="6" t="s">
        <v>22</v>
      </c>
      <c r="O91" s="6" t="s">
        <v>21</v>
      </c>
    </row>
    <row r="92" customFormat="false" ht="45.75" hidden="false" customHeight="true" outlineLevel="0" collapsed="false">
      <c r="A92" s="3" t="s">
        <v>276</v>
      </c>
      <c r="B92" s="3" t="n">
        <v>41</v>
      </c>
      <c r="C92" s="3" t="s">
        <v>29</v>
      </c>
      <c r="D92" s="3" t="s">
        <v>49</v>
      </c>
      <c r="E92" s="4" t="n">
        <v>11.2</v>
      </c>
      <c r="F92" s="4" t="n">
        <v>0.7</v>
      </c>
      <c r="G92" s="3" t="n">
        <v>266</v>
      </c>
      <c r="H92" s="4" t="n">
        <v>26.5</v>
      </c>
      <c r="I92" s="5" t="s">
        <v>277</v>
      </c>
      <c r="J92" s="3" t="s">
        <v>19</v>
      </c>
      <c r="K92" s="3" t="s">
        <v>39</v>
      </c>
      <c r="L92" s="5" t="s">
        <v>278</v>
      </c>
      <c r="M92" s="6" t="s">
        <v>22</v>
      </c>
      <c r="N92" s="6" t="s">
        <v>23</v>
      </c>
      <c r="O92" s="6" t="s">
        <v>23</v>
      </c>
    </row>
    <row r="93" customFormat="false" ht="34.5" hidden="false" customHeight="true" outlineLevel="0" collapsed="false">
      <c r="A93" s="3" t="s">
        <v>279</v>
      </c>
      <c r="B93" s="3" t="n">
        <v>42</v>
      </c>
      <c r="C93" s="3" t="s">
        <v>29</v>
      </c>
      <c r="D93" s="3" t="s">
        <v>178</v>
      </c>
      <c r="E93" s="4" t="n">
        <v>7.3</v>
      </c>
      <c r="F93" s="4" t="n">
        <v>0.9</v>
      </c>
      <c r="G93" s="3" t="n">
        <v>165</v>
      </c>
      <c r="H93" s="4" t="n">
        <v>22.4</v>
      </c>
      <c r="I93" s="5" t="s">
        <v>280</v>
      </c>
      <c r="J93" s="3" t="s">
        <v>19</v>
      </c>
      <c r="K93" s="3" t="s">
        <v>19</v>
      </c>
      <c r="L93" s="5" t="s">
        <v>281</v>
      </c>
      <c r="M93" s="6" t="s">
        <v>22</v>
      </c>
      <c r="N93" s="6" t="s">
        <v>89</v>
      </c>
      <c r="O93" s="6" t="s">
        <v>23</v>
      </c>
    </row>
    <row r="94" customFormat="false" ht="34.5" hidden="false" customHeight="true" outlineLevel="0" collapsed="false">
      <c r="A94" s="3" t="s">
        <v>282</v>
      </c>
      <c r="B94" s="3" t="n">
        <v>40</v>
      </c>
      <c r="C94" s="3" t="s">
        <v>29</v>
      </c>
      <c r="D94" s="3" t="s">
        <v>283</v>
      </c>
      <c r="E94" s="4" t="n">
        <v>12</v>
      </c>
      <c r="F94" s="4" t="n">
        <v>2.3</v>
      </c>
      <c r="G94" s="3" t="n">
        <v>292</v>
      </c>
      <c r="H94" s="4" t="n">
        <v>39.6</v>
      </c>
      <c r="I94" s="5" t="s">
        <v>284</v>
      </c>
      <c r="J94" s="3" t="s">
        <v>19</v>
      </c>
      <c r="K94" s="3" t="s">
        <v>19</v>
      </c>
      <c r="L94" s="5" t="s">
        <v>285</v>
      </c>
      <c r="M94" s="6" t="s">
        <v>22</v>
      </c>
      <c r="N94" s="6" t="s">
        <v>21</v>
      </c>
      <c r="O94" s="6" t="s">
        <v>23</v>
      </c>
    </row>
    <row r="95" customFormat="false" ht="45.75" hidden="false" customHeight="true" outlineLevel="0" collapsed="false">
      <c r="A95" s="3" t="s">
        <v>286</v>
      </c>
      <c r="B95" s="3" t="n">
        <v>35</v>
      </c>
      <c r="C95" s="3" t="s">
        <v>29</v>
      </c>
      <c r="D95" s="3" t="s">
        <v>246</v>
      </c>
      <c r="E95" s="4" t="n">
        <v>9.9</v>
      </c>
      <c r="F95" s="4" t="n">
        <v>2</v>
      </c>
      <c r="G95" s="3" t="n">
        <v>194</v>
      </c>
      <c r="H95" s="4" t="n">
        <v>26.9</v>
      </c>
      <c r="I95" s="5" t="s">
        <v>287</v>
      </c>
      <c r="J95" s="3" t="s">
        <v>19</v>
      </c>
      <c r="K95" s="3" t="s">
        <v>19</v>
      </c>
      <c r="L95" s="5" t="s">
        <v>288</v>
      </c>
      <c r="M95" s="6" t="s">
        <v>22</v>
      </c>
      <c r="N95" s="6" t="s">
        <v>89</v>
      </c>
      <c r="O95" s="6" t="s">
        <v>21</v>
      </c>
    </row>
    <row r="96" customFormat="false" ht="34.5" hidden="false" customHeight="true" outlineLevel="0" collapsed="false">
      <c r="A96" s="3" t="s">
        <v>289</v>
      </c>
      <c r="B96" s="3" t="n">
        <v>44</v>
      </c>
      <c r="C96" s="3" t="s">
        <v>29</v>
      </c>
      <c r="D96" s="3" t="s">
        <v>101</v>
      </c>
      <c r="E96" s="4" t="n">
        <v>11.8</v>
      </c>
      <c r="F96" s="4" t="n">
        <v>1.1</v>
      </c>
      <c r="G96" s="3" t="n">
        <v>289</v>
      </c>
      <c r="H96" s="4" t="n">
        <v>30.1</v>
      </c>
      <c r="I96" s="5" t="s">
        <v>290</v>
      </c>
      <c r="J96" s="3" t="s">
        <v>19</v>
      </c>
      <c r="K96" s="3" t="s">
        <v>19</v>
      </c>
      <c r="L96" s="5" t="s">
        <v>291</v>
      </c>
      <c r="M96" s="6" t="s">
        <v>22</v>
      </c>
      <c r="N96" s="6" t="s">
        <v>22</v>
      </c>
      <c r="O96" s="6" t="s">
        <v>23</v>
      </c>
    </row>
    <row r="97" customFormat="false" ht="34.5" hidden="false" customHeight="true" outlineLevel="0" collapsed="false">
      <c r="A97" s="3" t="s">
        <v>292</v>
      </c>
      <c r="B97" s="3" t="n">
        <v>46</v>
      </c>
      <c r="C97" s="3" t="s">
        <v>29</v>
      </c>
      <c r="D97" s="3" t="s">
        <v>17</v>
      </c>
      <c r="E97" s="4" t="n">
        <v>7</v>
      </c>
      <c r="F97" s="4" t="n">
        <v>1.2</v>
      </c>
      <c r="G97" s="3" t="n">
        <v>155</v>
      </c>
      <c r="H97" s="4" t="n">
        <v>22</v>
      </c>
      <c r="I97" s="5" t="s">
        <v>293</v>
      </c>
      <c r="J97" s="3" t="s">
        <v>19</v>
      </c>
      <c r="K97" s="3" t="s">
        <v>19</v>
      </c>
      <c r="L97" s="5" t="s">
        <v>294</v>
      </c>
      <c r="M97" s="6" t="s">
        <v>22</v>
      </c>
      <c r="N97" s="6" t="s">
        <v>22</v>
      </c>
      <c r="O97" s="6" t="s">
        <v>22</v>
      </c>
    </row>
    <row r="98" customFormat="false" ht="34.5" hidden="false" customHeight="true" outlineLevel="0" collapsed="false">
      <c r="A98" s="3" t="s">
        <v>295</v>
      </c>
      <c r="B98" s="3" t="n">
        <v>64</v>
      </c>
      <c r="C98" s="3" t="s">
        <v>16</v>
      </c>
      <c r="D98" s="3" t="s">
        <v>70</v>
      </c>
      <c r="E98" s="4" t="n">
        <v>6.7</v>
      </c>
      <c r="F98" s="4" t="n">
        <v>2</v>
      </c>
      <c r="G98" s="3" t="n">
        <v>141</v>
      </c>
      <c r="H98" s="4" t="n">
        <v>21.6</v>
      </c>
      <c r="I98" s="5" t="s">
        <v>296</v>
      </c>
      <c r="J98" s="3" t="s">
        <v>19</v>
      </c>
      <c r="K98" s="3" t="s">
        <v>19</v>
      </c>
      <c r="L98" s="5" t="s">
        <v>297</v>
      </c>
      <c r="M98" s="6" t="s">
        <v>22</v>
      </c>
      <c r="N98" s="6" t="s">
        <v>22</v>
      </c>
      <c r="O98" s="6" t="s">
        <v>21</v>
      </c>
    </row>
    <row r="99" customFormat="false" ht="34.5" hidden="false" customHeight="true" outlineLevel="0" collapsed="false">
      <c r="A99" s="3" t="s">
        <v>298</v>
      </c>
      <c r="B99" s="3" t="n">
        <v>79</v>
      </c>
      <c r="C99" s="3" t="s">
        <v>16</v>
      </c>
      <c r="D99" s="3" t="s">
        <v>178</v>
      </c>
      <c r="E99" s="4" t="n">
        <v>9.1</v>
      </c>
      <c r="F99" s="4" t="n">
        <v>0.9</v>
      </c>
      <c r="G99" s="3" t="n">
        <v>215</v>
      </c>
      <c r="H99" s="4" t="n">
        <v>28.4</v>
      </c>
      <c r="I99" s="5" t="s">
        <v>296</v>
      </c>
      <c r="J99" s="3" t="s">
        <v>19</v>
      </c>
      <c r="K99" s="3" t="s">
        <v>19</v>
      </c>
      <c r="L99" s="5" t="s">
        <v>299</v>
      </c>
      <c r="M99" s="6" t="s">
        <v>21</v>
      </c>
      <c r="N99" s="6" t="s">
        <v>22</v>
      </c>
      <c r="O99" s="6" t="s">
        <v>21</v>
      </c>
    </row>
    <row r="100" customFormat="false" ht="34.5" hidden="false" customHeight="true" outlineLevel="0" collapsed="false">
      <c r="A100" s="3" t="s">
        <v>300</v>
      </c>
      <c r="B100" s="3" t="n">
        <v>57</v>
      </c>
      <c r="C100" s="3" t="s">
        <v>29</v>
      </c>
      <c r="D100" s="3" t="s">
        <v>25</v>
      </c>
      <c r="E100" s="4" t="n">
        <v>8.3</v>
      </c>
      <c r="F100" s="4" t="n">
        <v>0.9</v>
      </c>
      <c r="G100" s="3" t="n">
        <v>169</v>
      </c>
      <c r="H100" s="4" t="n">
        <v>30.4</v>
      </c>
      <c r="I100" s="5" t="s">
        <v>219</v>
      </c>
      <c r="J100" s="3" t="s">
        <v>19</v>
      </c>
      <c r="K100" s="3" t="s">
        <v>19</v>
      </c>
      <c r="L100" s="5" t="s">
        <v>301</v>
      </c>
      <c r="M100" s="6" t="s">
        <v>22</v>
      </c>
      <c r="N100" s="6" t="s">
        <v>22</v>
      </c>
      <c r="O100" s="6" t="s">
        <v>23</v>
      </c>
    </row>
    <row r="101" customFormat="false" ht="45.75" hidden="false" customHeight="true" outlineLevel="0" collapsed="false">
      <c r="A101" s="3" t="s">
        <v>302</v>
      </c>
      <c r="B101" s="3" t="n">
        <v>36</v>
      </c>
      <c r="C101" s="3" t="s">
        <v>29</v>
      </c>
      <c r="D101" s="3" t="s">
        <v>30</v>
      </c>
      <c r="E101" s="4" t="n">
        <v>8.3</v>
      </c>
      <c r="F101" s="4" t="n">
        <v>0.8</v>
      </c>
      <c r="G101" s="3" t="n">
        <v>156</v>
      </c>
      <c r="H101" s="4" t="n">
        <v>34.9</v>
      </c>
      <c r="I101" s="5" t="s">
        <v>213</v>
      </c>
      <c r="J101" s="3" t="s">
        <v>19</v>
      </c>
      <c r="K101" s="3" t="s">
        <v>19</v>
      </c>
      <c r="L101" s="5" t="s">
        <v>303</v>
      </c>
      <c r="M101" s="6" t="s">
        <v>22</v>
      </c>
      <c r="N101" s="6" t="s">
        <v>22</v>
      </c>
      <c r="O101" s="6" t="s">
        <v>21</v>
      </c>
    </row>
  </sheetData>
  <autoFilter ref="A1:O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12"/>
  </cols>
  <sheetData>
    <row r="1" customFormat="false" ht="15.75" hidden="false" customHeight="true" outlineLevel="0" collapsed="false">
      <c r="A1" s="7" t="s">
        <v>304</v>
      </c>
    </row>
    <row r="2" customFormat="false" ht="15" hidden="false" customHeight="true" outlineLevel="0" collapsed="false">
      <c r="A2" s="8" t="s">
        <v>305</v>
      </c>
    </row>
    <row r="3" customFormat="false" ht="15" hidden="false" customHeight="true" outlineLevel="0" collapsed="false">
      <c r="A3" s="8"/>
    </row>
    <row r="4" customFormat="false" ht="15" hidden="false" customHeight="true" outlineLevel="0" collapsed="false">
      <c r="A4" s="9" t="s">
        <v>306</v>
      </c>
    </row>
    <row r="5" customFormat="false" ht="15" hidden="false" customHeight="true" outlineLevel="0" collapsed="false">
      <c r="A5" s="8" t="s">
        <v>307</v>
      </c>
    </row>
    <row r="6" customFormat="false" ht="15" hidden="false" customHeight="true" outlineLevel="0" collapsed="false">
      <c r="A6" s="8" t="s">
        <v>308</v>
      </c>
    </row>
    <row r="7" customFormat="false" ht="15" hidden="false" customHeight="true" outlineLevel="0" collapsed="false">
      <c r="A7" s="8"/>
    </row>
    <row r="8" customFormat="false" ht="15" hidden="false" customHeight="true" outlineLevel="0" collapsed="false">
      <c r="A8" s="9" t="s">
        <v>309</v>
      </c>
    </row>
    <row r="9" customFormat="false" ht="15" hidden="false" customHeight="true" outlineLevel="0" collapsed="false">
      <c r="A9" s="8" t="s">
        <v>310</v>
      </c>
    </row>
    <row r="10" customFormat="false" ht="15" hidden="false" customHeight="true" outlineLevel="0" collapsed="false">
      <c r="A10" s="8" t="s">
        <v>311</v>
      </c>
    </row>
    <row r="11" customFormat="false" ht="15" hidden="false" customHeight="true" outlineLevel="0" collapsed="false">
      <c r="A11" s="8" t="s">
        <v>312</v>
      </c>
    </row>
    <row r="12" customFormat="false" ht="15" hidden="false" customHeight="true" outlineLevel="0" collapsed="false">
      <c r="A12" s="8" t="s">
        <v>313</v>
      </c>
    </row>
    <row r="13" customFormat="false" ht="15" hidden="false" customHeight="true" outlineLevel="0" collapsed="false">
      <c r="A13" s="8"/>
    </row>
    <row r="14" customFormat="false" ht="15" hidden="false" customHeight="true" outlineLevel="0" collapsed="false">
      <c r="A14" s="9" t="s">
        <v>314</v>
      </c>
    </row>
    <row r="15" customFormat="false" ht="15" hidden="false" customHeight="true" outlineLevel="0" collapsed="false">
      <c r="A15" s="8" t="s">
        <v>315</v>
      </c>
    </row>
    <row r="16" customFormat="false" ht="15" hidden="false" customHeight="true" outlineLevel="0" collapsed="false">
      <c r="A16" s="8" t="s">
        <v>316</v>
      </c>
    </row>
    <row r="17" customFormat="false" ht="15" hidden="false" customHeight="true" outlineLevel="0" collapsed="false">
      <c r="A17" s="8" t="s">
        <v>317</v>
      </c>
    </row>
    <row r="18" customFormat="false" ht="15" hidden="false" customHeight="true" outlineLevel="0" collapsed="false">
      <c r="A18" s="8" t="s">
        <v>318</v>
      </c>
    </row>
    <row r="19" customFormat="false" ht="15" hidden="false" customHeight="true" outlineLevel="0" collapsed="false">
      <c r="A19" s="8" t="s">
        <v>319</v>
      </c>
    </row>
    <row r="20" customFormat="false" ht="15" hidden="false" customHeight="true" outlineLevel="0" collapsed="false">
      <c r="A20" s="8"/>
    </row>
    <row r="21" customFormat="false" ht="15" hidden="false" customHeight="true" outlineLevel="0" collapsed="false">
      <c r="A21" s="9" t="s">
        <v>320</v>
      </c>
    </row>
    <row r="22" customFormat="false" ht="15" hidden="false" customHeight="true" outlineLevel="0" collapsed="false">
      <c r="A22" s="10" t="s">
        <v>321</v>
      </c>
      <c r="B22" s="10" t="s">
        <v>322</v>
      </c>
    </row>
    <row r="23" customFormat="false" ht="15" hidden="false" customHeight="true" outlineLevel="0" collapsed="false">
      <c r="A23" s="8" t="s">
        <v>323</v>
      </c>
      <c r="B23" s="8" t="n">
        <f aca="false">COUNTIF(tipos_de_caso!C:C,"NEG")</f>
        <v>12</v>
      </c>
    </row>
    <row r="24" customFormat="false" ht="15" hidden="false" customHeight="true" outlineLevel="0" collapsed="false">
      <c r="A24" s="8" t="s">
        <v>324</v>
      </c>
      <c r="B24" s="8" t="n">
        <f aca="false">COUNTIF(tipos_de_caso!C:C,"REMISSAO")</f>
        <v>7</v>
      </c>
    </row>
    <row r="25" customFormat="false" ht="15" hidden="false" customHeight="true" outlineLevel="0" collapsed="false">
      <c r="A25" s="8" t="s">
        <v>325</v>
      </c>
      <c r="B25" s="8" t="n">
        <f aca="false">COUNTIF(tipos_de_caso!C:C,"ATIVA")</f>
        <v>7</v>
      </c>
    </row>
    <row r="26" customFormat="false" ht="15" hidden="false" customHeight="true" outlineLevel="0" collapsed="false">
      <c r="A26" s="8" t="s">
        <v>326</v>
      </c>
      <c r="B26" s="8" t="n">
        <f aca="false">COUNTIF(tipos_de_caso!C:C,"HIST_INCERTO")</f>
        <v>7</v>
      </c>
    </row>
    <row r="27" customFormat="false" ht="15" hidden="false" customHeight="true" outlineLevel="0" collapsed="false">
      <c r="A27" s="8" t="s">
        <v>327</v>
      </c>
      <c r="B27" s="8" t="n">
        <f aca="false">COUNTIF(tipos_de_caso!C:C,"FAMILIAR")</f>
        <v>12</v>
      </c>
    </row>
    <row r="28" customFormat="false" ht="15" hidden="false" customHeight="true" outlineLevel="0" collapsed="false">
      <c r="A28" s="8" t="s">
        <v>328</v>
      </c>
      <c r="B28" s="8" t="n">
        <f aca="false">COUNTIF(tipos_de_caso!D:D,"BETA_NEG")</f>
        <v>6</v>
      </c>
    </row>
    <row r="29" customFormat="false" ht="15" hidden="false" customHeight="true" outlineLevel="0" collapsed="false">
      <c r="A29" s="8" t="s">
        <v>329</v>
      </c>
      <c r="B29" s="8" t="n">
        <f aca="false">COUNTIF(tipos_de_caso!D:D,"NEGA")</f>
        <v>3</v>
      </c>
    </row>
    <row r="30" customFormat="false" ht="15" hidden="false" customHeight="true" outlineLevel="0" collapsed="false">
      <c r="A30" s="8" t="s">
        <v>330</v>
      </c>
      <c r="B30" s="8" t="n">
        <f aca="false">COUNTIF(tipos_de_caso!D:D,"SUSPEITA")</f>
        <v>6</v>
      </c>
    </row>
    <row r="31" customFormat="false" ht="15" hidden="false" customHeight="true" outlineLevel="0" collapsed="false">
      <c r="A31" s="8" t="s">
        <v>331</v>
      </c>
      <c r="B31" s="8" t="n">
        <f aca="false">COUNTIF(tipos_de_caso!D:D,"HIST_OBST")</f>
        <v>7</v>
      </c>
    </row>
    <row r="32" customFormat="false" ht="15" hidden="false" customHeight="true" outlineLevel="0" collapsed="false">
      <c r="A32" s="8" t="s">
        <v>332</v>
      </c>
      <c r="B32" s="8" t="n">
        <f aca="false">COUNTIF(tipos_de_caso!D:D,"ATIVA")</f>
        <v>3</v>
      </c>
    </row>
    <row r="33" customFormat="false" ht="15" hidden="false" customHeight="true" outlineLevel="0" collapsed="false">
      <c r="A33" s="8" t="s">
        <v>333</v>
      </c>
      <c r="B33" s="8" t="n">
        <f aca="false">COUNTIF(tipos_de_caso!E:E,"SUSPENSA")</f>
        <v>6</v>
      </c>
    </row>
    <row r="34" customFormat="false" ht="15" hidden="false" customHeight="true" outlineLevel="0" collapsed="false">
      <c r="A34" s="8" t="s">
        <v>334</v>
      </c>
      <c r="B34" s="8" t="n">
        <f aca="false">COUNTIF(tipos_de_caso!E:E,"TROCADA")</f>
        <v>6</v>
      </c>
    </row>
    <row r="35" customFormat="false" ht="15" hidden="false" customHeight="true" outlineLevel="0" collapsed="false">
      <c r="A35" s="8" t="s">
        <v>335</v>
      </c>
      <c r="B35" s="8" t="n">
        <f aca="false">COUNTIF(tipos_de_caso!E:E,"NAO_INICIADA")</f>
        <v>6</v>
      </c>
    </row>
    <row r="36" customFormat="false" ht="15" hidden="false" customHeight="true" outlineLevel="0" collapsed="false">
      <c r="A36" s="8" t="s">
        <v>336</v>
      </c>
      <c r="B36" s="8" t="n">
        <f aca="false">COUNTIF(tipos_de_caso!E:E,"ADESAO_INCERTA")</f>
        <v>3</v>
      </c>
    </row>
    <row r="37" customFormat="false" ht="15" hidden="false" customHeight="true" outlineLevel="0" collapsed="false">
      <c r="A37" s="8" t="s">
        <v>337</v>
      </c>
      <c r="B37" s="8" t="n">
        <f aca="false">COUNTIF(tipos_de_caso!E:E,"NEGA")</f>
        <v>4</v>
      </c>
    </row>
    <row r="38" customFormat="false" ht="15" hidden="false" customHeight="true" outlineLevel="0" collapsed="false">
      <c r="A38" s="8" t="s">
        <v>338</v>
      </c>
      <c r="B38" s="8" t="n">
        <f aca="false">COUNTIF(tipos_de_caso!E:E,"USO (typo)")</f>
        <v>7</v>
      </c>
    </row>
    <row r="39" customFormat="false" ht="15" hidden="false" customHeight="true" outlineLevel="0" collapsed="false">
      <c r="A39" s="8" t="s">
        <v>339</v>
      </c>
      <c r="B39" s="8" t="n">
        <f aca="false">COUNTIF(tipos_de_caso!H:H,"Sim")</f>
        <v>86</v>
      </c>
    </row>
    <row r="40" customFormat="false" ht="15" hidden="false" customHeight="true" outlineLevel="0" collapsed="false">
      <c r="A40" s="8" t="s">
        <v>340</v>
      </c>
      <c r="B40" s="8" t="n">
        <f aca="false">COUNTIF(tipos_de_caso!I:I,"Sim")</f>
        <v>16</v>
      </c>
    </row>
    <row r="41" customFormat="false" ht="15" hidden="false" customHeight="true" outlineLevel="0" collapsed="false">
      <c r="A41" s="8" t="s">
        <v>341</v>
      </c>
      <c r="B41" s="8" t="n">
        <f aca="false">SUMPRODUCT((pacientes!M2:M101="nao_mencionado")*(pacientes!N2:N101="nao_mencionado")*(pacientes!O2:O101="nao_mencionado"))</f>
        <v>12</v>
      </c>
    </row>
    <row r="42" customFormat="false" ht="15" hidden="false" customHeight="true" outlineLevel="0" collapsed="false">
      <c r="A42" s="8" t="s">
        <v>342</v>
      </c>
      <c r="B42" s="8" t="n">
        <f aca="false">COUNTIF(tipos_de_caso!F2:F101,"?*")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15" hidden="false" customHeight="true" outlineLevel="0" collapsed="false">
      <c r="A1" s="10" t="s">
        <v>0</v>
      </c>
      <c r="B1" s="10" t="s">
        <v>343</v>
      </c>
      <c r="C1" s="10" t="s">
        <v>344</v>
      </c>
      <c r="D1" s="10" t="s">
        <v>345</v>
      </c>
      <c r="E1" s="10" t="s">
        <v>346</v>
      </c>
      <c r="F1" s="10" t="s">
        <v>347</v>
      </c>
      <c r="G1" s="10" t="s">
        <v>348</v>
      </c>
      <c r="H1" s="10" t="s">
        <v>349</v>
      </c>
      <c r="I1" s="10" t="s">
        <v>350</v>
      </c>
    </row>
    <row r="2" customFormat="false" ht="15" hidden="false" customHeight="true" outlineLevel="0" collapsed="false">
      <c r="A2" s="8" t="s">
        <v>15</v>
      </c>
      <c r="B2" s="8" t="s">
        <v>351</v>
      </c>
      <c r="C2" s="8" t="s">
        <v>352</v>
      </c>
      <c r="D2" s="8" t="s">
        <v>353</v>
      </c>
      <c r="E2" s="8" t="s">
        <v>354</v>
      </c>
      <c r="F2" s="8"/>
      <c r="G2" s="8"/>
      <c r="H2" s="8" t="s">
        <v>39</v>
      </c>
      <c r="I2" s="8"/>
    </row>
    <row r="3" customFormat="false" ht="15" hidden="false" customHeight="true" outlineLevel="0" collapsed="false">
      <c r="A3" s="8" t="s">
        <v>24</v>
      </c>
      <c r="B3" s="8" t="s">
        <v>355</v>
      </c>
      <c r="C3" s="8" t="s">
        <v>356</v>
      </c>
      <c r="D3" s="8" t="s">
        <v>353</v>
      </c>
      <c r="E3" s="8" t="s">
        <v>354</v>
      </c>
      <c r="F3" s="8" t="s">
        <v>7</v>
      </c>
      <c r="G3" s="8"/>
      <c r="H3" s="8" t="s">
        <v>39</v>
      </c>
      <c r="I3" s="8"/>
    </row>
    <row r="4" customFormat="false" ht="15" hidden="false" customHeight="true" outlineLevel="0" collapsed="false">
      <c r="A4" s="8" t="s">
        <v>28</v>
      </c>
      <c r="B4" s="8" t="s">
        <v>355</v>
      </c>
      <c r="C4" s="8" t="s">
        <v>353</v>
      </c>
      <c r="D4" s="8" t="s">
        <v>357</v>
      </c>
      <c r="E4" s="8" t="s">
        <v>354</v>
      </c>
      <c r="F4" s="8"/>
      <c r="G4" s="8"/>
      <c r="H4" s="8" t="s">
        <v>39</v>
      </c>
      <c r="I4" s="8"/>
    </row>
    <row r="5" customFormat="false" ht="15" hidden="false" customHeight="true" outlineLevel="0" collapsed="false">
      <c r="A5" s="8" t="s">
        <v>33</v>
      </c>
      <c r="B5" s="8" t="s">
        <v>355</v>
      </c>
      <c r="C5" s="8" t="s">
        <v>358</v>
      </c>
      <c r="D5" s="8" t="s">
        <v>359</v>
      </c>
      <c r="E5" s="8" t="s">
        <v>360</v>
      </c>
      <c r="F5" s="8"/>
      <c r="G5" s="8"/>
      <c r="H5" s="8" t="s">
        <v>39</v>
      </c>
      <c r="I5" s="8" t="s">
        <v>39</v>
      </c>
    </row>
    <row r="6" customFormat="false" ht="15" hidden="false" customHeight="true" outlineLevel="0" collapsed="false">
      <c r="A6" s="8" t="s">
        <v>36</v>
      </c>
      <c r="B6" s="8" t="s">
        <v>351</v>
      </c>
      <c r="C6" s="8" t="s">
        <v>353</v>
      </c>
      <c r="D6" s="8" t="s">
        <v>361</v>
      </c>
      <c r="E6" s="8" t="s">
        <v>360</v>
      </c>
      <c r="F6" s="8" t="s">
        <v>6</v>
      </c>
      <c r="G6" s="8"/>
      <c r="H6" s="8"/>
      <c r="I6" s="8"/>
    </row>
    <row r="7" customFormat="false" ht="15" hidden="false" customHeight="true" outlineLevel="0" collapsed="false">
      <c r="A7" s="8" t="s">
        <v>41</v>
      </c>
      <c r="B7" s="8" t="s">
        <v>362</v>
      </c>
      <c r="C7" s="8" t="s">
        <v>353</v>
      </c>
      <c r="D7" s="8" t="s">
        <v>353</v>
      </c>
      <c r="E7" s="8" t="s">
        <v>353</v>
      </c>
      <c r="F7" s="8" t="s">
        <v>5</v>
      </c>
      <c r="G7" s="8"/>
      <c r="H7" s="8"/>
      <c r="I7" s="8"/>
    </row>
    <row r="8" customFormat="false" ht="15" hidden="false" customHeight="true" outlineLevel="0" collapsed="false">
      <c r="A8" s="8" t="s">
        <v>44</v>
      </c>
      <c r="B8" s="8" t="s">
        <v>351</v>
      </c>
      <c r="C8" s="8" t="s">
        <v>353</v>
      </c>
      <c r="D8" s="8" t="s">
        <v>357</v>
      </c>
      <c r="E8" s="8" t="s">
        <v>353</v>
      </c>
      <c r="F8" s="8"/>
      <c r="G8" s="8"/>
      <c r="H8" s="8" t="s">
        <v>39</v>
      </c>
      <c r="I8" s="8"/>
    </row>
    <row r="9" customFormat="false" ht="15" hidden="false" customHeight="true" outlineLevel="0" collapsed="false">
      <c r="A9" s="8" t="s">
        <v>48</v>
      </c>
      <c r="B9" s="8" t="s">
        <v>362</v>
      </c>
      <c r="C9" s="8" t="s">
        <v>356</v>
      </c>
      <c r="D9" s="8" t="s">
        <v>353</v>
      </c>
      <c r="E9" s="8" t="s">
        <v>353</v>
      </c>
      <c r="F9" s="8" t="s">
        <v>5</v>
      </c>
      <c r="G9" s="8"/>
      <c r="H9" s="8" t="s">
        <v>39</v>
      </c>
      <c r="I9" s="8"/>
    </row>
    <row r="10" customFormat="false" ht="15" hidden="false" customHeight="true" outlineLevel="0" collapsed="false">
      <c r="A10" s="8" t="s">
        <v>51</v>
      </c>
      <c r="B10" s="8" t="s">
        <v>351</v>
      </c>
      <c r="C10" s="8" t="s">
        <v>353</v>
      </c>
      <c r="D10" s="8" t="s">
        <v>360</v>
      </c>
      <c r="E10" s="8" t="s">
        <v>354</v>
      </c>
      <c r="F10" s="8"/>
      <c r="G10" s="8"/>
      <c r="H10" s="8" t="s">
        <v>39</v>
      </c>
      <c r="I10" s="8"/>
    </row>
    <row r="11" customFormat="false" ht="15" hidden="false" customHeight="true" outlineLevel="0" collapsed="false">
      <c r="A11" s="8" t="s">
        <v>54</v>
      </c>
      <c r="B11" s="8" t="s">
        <v>362</v>
      </c>
      <c r="C11" s="8" t="s">
        <v>353</v>
      </c>
      <c r="D11" s="8" t="s">
        <v>353</v>
      </c>
      <c r="E11" s="8" t="s">
        <v>354</v>
      </c>
      <c r="F11" s="8" t="s">
        <v>7</v>
      </c>
      <c r="G11" s="8"/>
      <c r="H11" s="8" t="s">
        <v>39</v>
      </c>
      <c r="I11" s="8"/>
    </row>
    <row r="12" customFormat="false" ht="15" hidden="false" customHeight="true" outlineLevel="0" collapsed="false">
      <c r="A12" s="8" t="s">
        <v>57</v>
      </c>
      <c r="B12" s="8" t="s">
        <v>351</v>
      </c>
      <c r="C12" s="8" t="s">
        <v>361</v>
      </c>
      <c r="D12" s="8" t="s">
        <v>353</v>
      </c>
      <c r="E12" s="8" t="s">
        <v>354</v>
      </c>
      <c r="F12" s="8"/>
      <c r="G12" s="8"/>
      <c r="H12" s="8" t="s">
        <v>39</v>
      </c>
      <c r="I12" s="8"/>
    </row>
    <row r="13" customFormat="false" ht="15" hidden="false" customHeight="true" outlineLevel="0" collapsed="false">
      <c r="A13" s="8" t="s">
        <v>60</v>
      </c>
      <c r="B13" s="8" t="s">
        <v>355</v>
      </c>
      <c r="C13" s="8" t="s">
        <v>353</v>
      </c>
      <c r="D13" s="8" t="s">
        <v>353</v>
      </c>
      <c r="E13" s="8" t="s">
        <v>353</v>
      </c>
      <c r="F13" s="8"/>
      <c r="G13" s="8"/>
      <c r="H13" s="8" t="s">
        <v>39</v>
      </c>
      <c r="I13" s="8"/>
    </row>
    <row r="14" customFormat="false" ht="15" hidden="false" customHeight="true" outlineLevel="0" collapsed="false">
      <c r="A14" s="8" t="s">
        <v>63</v>
      </c>
      <c r="B14" s="8" t="s">
        <v>362</v>
      </c>
      <c r="C14" s="8" t="s">
        <v>353</v>
      </c>
      <c r="D14" s="8" t="s">
        <v>353</v>
      </c>
      <c r="E14" s="8" t="s">
        <v>363</v>
      </c>
      <c r="F14" s="8"/>
      <c r="G14" s="8"/>
      <c r="H14" s="8" t="s">
        <v>39</v>
      </c>
      <c r="I14" s="8"/>
    </row>
    <row r="15" customFormat="false" ht="15" hidden="false" customHeight="true" outlineLevel="0" collapsed="false">
      <c r="A15" s="8" t="s">
        <v>66</v>
      </c>
      <c r="B15" s="8" t="s">
        <v>351</v>
      </c>
      <c r="C15" s="8" t="s">
        <v>353</v>
      </c>
      <c r="D15" s="8" t="s">
        <v>353</v>
      </c>
      <c r="E15" s="8" t="s">
        <v>354</v>
      </c>
      <c r="F15" s="8"/>
      <c r="G15" s="8"/>
      <c r="H15" s="8" t="s">
        <v>39</v>
      </c>
      <c r="I15" s="8"/>
    </row>
    <row r="16" customFormat="false" ht="15" hidden="false" customHeight="true" outlineLevel="0" collapsed="false">
      <c r="A16" s="8" t="s">
        <v>69</v>
      </c>
      <c r="B16" s="8" t="s">
        <v>362</v>
      </c>
      <c r="C16" s="8" t="s">
        <v>353</v>
      </c>
      <c r="D16" s="8" t="s">
        <v>353</v>
      </c>
      <c r="E16" s="8" t="s">
        <v>353</v>
      </c>
      <c r="F16" s="8"/>
      <c r="G16" s="8"/>
      <c r="H16" s="8" t="s">
        <v>39</v>
      </c>
      <c r="I16" s="8"/>
    </row>
    <row r="17" customFormat="false" ht="15" hidden="false" customHeight="true" outlineLevel="0" collapsed="false">
      <c r="A17" s="8" t="s">
        <v>73</v>
      </c>
      <c r="B17" s="8" t="s">
        <v>351</v>
      </c>
      <c r="C17" s="8" t="s">
        <v>358</v>
      </c>
      <c r="D17" s="8" t="s">
        <v>353</v>
      </c>
      <c r="E17" s="8" t="s">
        <v>363</v>
      </c>
      <c r="F17" s="8"/>
      <c r="G17" s="8"/>
      <c r="H17" s="8" t="s">
        <v>39</v>
      </c>
      <c r="I17" s="8"/>
    </row>
    <row r="18" customFormat="false" ht="15" hidden="false" customHeight="true" outlineLevel="0" collapsed="false">
      <c r="A18" s="8" t="s">
        <v>75</v>
      </c>
      <c r="B18" s="8" t="s">
        <v>351</v>
      </c>
      <c r="C18" s="8" t="s">
        <v>352</v>
      </c>
      <c r="D18" s="8" t="s">
        <v>353</v>
      </c>
      <c r="E18" s="8" t="s">
        <v>354</v>
      </c>
      <c r="F18" s="8"/>
      <c r="G18" s="8"/>
      <c r="H18" s="8" t="s">
        <v>39</v>
      </c>
      <c r="I18" s="8"/>
    </row>
    <row r="19" customFormat="false" ht="15" hidden="false" customHeight="true" outlineLevel="0" collapsed="false">
      <c r="A19" s="8" t="s">
        <v>77</v>
      </c>
      <c r="B19" s="8" t="s">
        <v>351</v>
      </c>
      <c r="C19" s="8" t="s">
        <v>353</v>
      </c>
      <c r="D19" s="8" t="s">
        <v>359</v>
      </c>
      <c r="E19" s="8" t="s">
        <v>364</v>
      </c>
      <c r="F19" s="8"/>
      <c r="G19" s="8"/>
      <c r="H19" s="8" t="s">
        <v>39</v>
      </c>
      <c r="I19" s="8" t="s">
        <v>39</v>
      </c>
    </row>
    <row r="20" customFormat="false" ht="15" hidden="false" customHeight="true" outlineLevel="0" collapsed="false">
      <c r="A20" s="8" t="s">
        <v>80</v>
      </c>
      <c r="B20" s="8" t="s">
        <v>362</v>
      </c>
      <c r="C20" s="8" t="s">
        <v>353</v>
      </c>
      <c r="D20" s="8" t="s">
        <v>353</v>
      </c>
      <c r="E20" s="8" t="s">
        <v>354</v>
      </c>
      <c r="F20" s="8"/>
      <c r="G20" s="8"/>
      <c r="H20" s="8" t="s">
        <v>39</v>
      </c>
      <c r="I20" s="8"/>
    </row>
    <row r="21" customFormat="false" ht="15" hidden="false" customHeight="true" outlineLevel="0" collapsed="false">
      <c r="A21" s="8" t="s">
        <v>82</v>
      </c>
      <c r="B21" s="8" t="s">
        <v>351</v>
      </c>
      <c r="C21" s="8" t="s">
        <v>358</v>
      </c>
      <c r="D21" s="8" t="s">
        <v>353</v>
      </c>
      <c r="E21" s="8" t="s">
        <v>365</v>
      </c>
      <c r="F21" s="8"/>
      <c r="G21" s="8"/>
      <c r="H21" s="8"/>
      <c r="I21" s="8"/>
    </row>
    <row r="22" customFormat="false" ht="15" hidden="false" customHeight="true" outlineLevel="0" collapsed="false">
      <c r="A22" s="8" t="s">
        <v>85</v>
      </c>
      <c r="B22" s="8" t="s">
        <v>351</v>
      </c>
      <c r="C22" s="8" t="s">
        <v>353</v>
      </c>
      <c r="D22" s="8" t="s">
        <v>366</v>
      </c>
      <c r="E22" s="8" t="s">
        <v>354</v>
      </c>
      <c r="F22" s="8"/>
      <c r="G22" s="8"/>
      <c r="H22" s="8" t="s">
        <v>39</v>
      </c>
      <c r="I22" s="8"/>
    </row>
    <row r="23" customFormat="false" ht="15" hidden="false" customHeight="true" outlineLevel="0" collapsed="false">
      <c r="A23" s="8" t="s">
        <v>90</v>
      </c>
      <c r="B23" s="8" t="s">
        <v>355</v>
      </c>
      <c r="C23" s="8" t="s">
        <v>353</v>
      </c>
      <c r="D23" s="8" t="s">
        <v>360</v>
      </c>
      <c r="E23" s="8" t="s">
        <v>353</v>
      </c>
      <c r="F23" s="8"/>
      <c r="G23" s="8"/>
      <c r="H23" s="8" t="s">
        <v>39</v>
      </c>
      <c r="I23" s="8"/>
    </row>
    <row r="24" customFormat="false" ht="15" hidden="false" customHeight="true" outlineLevel="0" collapsed="false">
      <c r="A24" s="8" t="s">
        <v>92</v>
      </c>
      <c r="B24" s="8" t="s">
        <v>351</v>
      </c>
      <c r="C24" s="8" t="s">
        <v>353</v>
      </c>
      <c r="D24" s="8" t="s">
        <v>366</v>
      </c>
      <c r="E24" s="8" t="s">
        <v>354</v>
      </c>
      <c r="F24" s="8"/>
      <c r="G24" s="8"/>
      <c r="H24" s="8" t="s">
        <v>39</v>
      </c>
      <c r="I24" s="8"/>
    </row>
    <row r="25" customFormat="false" ht="15" hidden="false" customHeight="true" outlineLevel="0" collapsed="false">
      <c r="A25" s="8" t="s">
        <v>94</v>
      </c>
      <c r="B25" s="8" t="s">
        <v>355</v>
      </c>
      <c r="C25" s="8" t="s">
        <v>352</v>
      </c>
      <c r="D25" s="8" t="s">
        <v>353</v>
      </c>
      <c r="E25" s="8" t="s">
        <v>354</v>
      </c>
      <c r="F25" s="8"/>
      <c r="G25" s="8"/>
      <c r="H25" s="8" t="s">
        <v>39</v>
      </c>
      <c r="I25" s="8" t="s">
        <v>39</v>
      </c>
    </row>
    <row r="26" customFormat="false" ht="15" hidden="false" customHeight="true" outlineLevel="0" collapsed="false">
      <c r="A26" s="8" t="s">
        <v>97</v>
      </c>
      <c r="B26" s="8" t="s">
        <v>362</v>
      </c>
      <c r="C26" s="8" t="s">
        <v>353</v>
      </c>
      <c r="D26" s="8" t="s">
        <v>361</v>
      </c>
      <c r="E26" s="8" t="s">
        <v>363</v>
      </c>
      <c r="F26" s="8"/>
      <c r="G26" s="8"/>
      <c r="H26" s="8"/>
      <c r="I26" s="8"/>
    </row>
    <row r="27" customFormat="false" ht="15" hidden="false" customHeight="true" outlineLevel="0" collapsed="false">
      <c r="A27" s="8" t="s">
        <v>100</v>
      </c>
      <c r="B27" s="8" t="s">
        <v>351</v>
      </c>
      <c r="C27" s="8" t="s">
        <v>353</v>
      </c>
      <c r="D27" s="8" t="s">
        <v>353</v>
      </c>
      <c r="E27" s="8" t="s">
        <v>365</v>
      </c>
      <c r="F27" s="8"/>
      <c r="G27" s="8"/>
      <c r="H27" s="8" t="s">
        <v>39</v>
      </c>
      <c r="I27" s="8"/>
    </row>
    <row r="28" customFormat="false" ht="15" hidden="false" customHeight="true" outlineLevel="0" collapsed="false">
      <c r="A28" s="8" t="s">
        <v>104</v>
      </c>
      <c r="B28" s="8" t="s">
        <v>362</v>
      </c>
      <c r="C28" s="8" t="s">
        <v>353</v>
      </c>
      <c r="D28" s="8" t="s">
        <v>353</v>
      </c>
      <c r="E28" s="8" t="s">
        <v>354</v>
      </c>
      <c r="F28" s="8"/>
      <c r="G28" s="8"/>
      <c r="H28" s="8" t="s">
        <v>39</v>
      </c>
      <c r="I28" s="8"/>
    </row>
    <row r="29" customFormat="false" ht="15" hidden="false" customHeight="true" outlineLevel="0" collapsed="false">
      <c r="A29" s="8" t="s">
        <v>107</v>
      </c>
      <c r="B29" s="8" t="s">
        <v>351</v>
      </c>
      <c r="C29" s="8" t="s">
        <v>358</v>
      </c>
      <c r="D29" s="8" t="s">
        <v>353</v>
      </c>
      <c r="E29" s="8" t="s">
        <v>353</v>
      </c>
      <c r="F29" s="8"/>
      <c r="G29" s="8"/>
      <c r="H29" s="8" t="s">
        <v>39</v>
      </c>
      <c r="I29" s="8"/>
    </row>
    <row r="30" customFormat="false" ht="15" hidden="false" customHeight="true" outlineLevel="0" collapsed="false">
      <c r="A30" s="8" t="s">
        <v>109</v>
      </c>
      <c r="B30" s="8" t="s">
        <v>355</v>
      </c>
      <c r="C30" s="8" t="s">
        <v>367</v>
      </c>
      <c r="D30" s="8" t="s">
        <v>353</v>
      </c>
      <c r="E30" s="8" t="s">
        <v>354</v>
      </c>
      <c r="F30" s="8" t="s">
        <v>1</v>
      </c>
      <c r="G30" s="8"/>
      <c r="H30" s="8" t="s">
        <v>39</v>
      </c>
      <c r="I30" s="8" t="s">
        <v>39</v>
      </c>
    </row>
    <row r="31" customFormat="false" ht="15" hidden="false" customHeight="true" outlineLevel="0" collapsed="false">
      <c r="A31" s="8" t="s">
        <v>112</v>
      </c>
      <c r="B31" s="8" t="s">
        <v>351</v>
      </c>
      <c r="C31" s="8" t="s">
        <v>353</v>
      </c>
      <c r="D31" s="8" t="s">
        <v>353</v>
      </c>
      <c r="E31" s="8" t="s">
        <v>354</v>
      </c>
      <c r="F31" s="8"/>
      <c r="G31" s="8"/>
      <c r="H31" s="8" t="s">
        <v>39</v>
      </c>
      <c r="I31" s="8"/>
    </row>
    <row r="32" customFormat="false" ht="15" hidden="false" customHeight="true" outlineLevel="0" collapsed="false">
      <c r="A32" s="8" t="s">
        <v>115</v>
      </c>
      <c r="B32" s="8" t="s">
        <v>355</v>
      </c>
      <c r="C32" s="8" t="s">
        <v>361</v>
      </c>
      <c r="D32" s="8" t="s">
        <v>353</v>
      </c>
      <c r="E32" s="8" t="s">
        <v>364</v>
      </c>
      <c r="F32" s="8"/>
      <c r="G32" s="8"/>
      <c r="H32" s="8" t="s">
        <v>39</v>
      </c>
      <c r="I32" s="8" t="s">
        <v>39</v>
      </c>
    </row>
    <row r="33" customFormat="false" ht="15" hidden="false" customHeight="true" outlineLevel="0" collapsed="false">
      <c r="A33" s="8" t="s">
        <v>118</v>
      </c>
      <c r="B33" s="8" t="s">
        <v>355</v>
      </c>
      <c r="C33" s="8" t="s">
        <v>358</v>
      </c>
      <c r="D33" s="8" t="s">
        <v>353</v>
      </c>
      <c r="E33" s="8" t="s">
        <v>368</v>
      </c>
      <c r="F33" s="8"/>
      <c r="G33" s="8"/>
      <c r="H33" s="8" t="s">
        <v>39</v>
      </c>
      <c r="I33" s="8" t="s">
        <v>39</v>
      </c>
    </row>
    <row r="34" customFormat="false" ht="15" hidden="false" customHeight="true" outlineLevel="0" collapsed="false">
      <c r="A34" s="8" t="s">
        <v>120</v>
      </c>
      <c r="B34" s="8" t="s">
        <v>351</v>
      </c>
      <c r="C34" s="8" t="s">
        <v>358</v>
      </c>
      <c r="D34" s="8" t="s">
        <v>353</v>
      </c>
      <c r="E34" s="8" t="s">
        <v>354</v>
      </c>
      <c r="F34" s="8"/>
      <c r="G34" s="8"/>
      <c r="H34" s="8" t="s">
        <v>39</v>
      </c>
      <c r="I34" s="8"/>
    </row>
    <row r="35" customFormat="false" ht="15" hidden="false" customHeight="true" outlineLevel="0" collapsed="false">
      <c r="A35" s="8" t="s">
        <v>123</v>
      </c>
      <c r="B35" s="8" t="s">
        <v>362</v>
      </c>
      <c r="C35" s="8" t="s">
        <v>356</v>
      </c>
      <c r="D35" s="8" t="s">
        <v>353</v>
      </c>
      <c r="E35" s="8" t="s">
        <v>354</v>
      </c>
      <c r="F35" s="8"/>
      <c r="G35" s="8"/>
      <c r="H35" s="8" t="s">
        <v>39</v>
      </c>
      <c r="I35" s="8"/>
    </row>
    <row r="36" customFormat="false" ht="15" hidden="false" customHeight="true" outlineLevel="0" collapsed="false">
      <c r="A36" s="8" t="s">
        <v>126</v>
      </c>
      <c r="B36" s="8" t="s">
        <v>351</v>
      </c>
      <c r="C36" s="8" t="s">
        <v>352</v>
      </c>
      <c r="D36" s="8" t="s">
        <v>353</v>
      </c>
      <c r="E36" s="8" t="s">
        <v>354</v>
      </c>
      <c r="F36" s="8"/>
      <c r="G36" s="8"/>
      <c r="H36" s="8" t="s">
        <v>39</v>
      </c>
      <c r="I36" s="8"/>
    </row>
    <row r="37" customFormat="false" ht="15" hidden="false" customHeight="true" outlineLevel="0" collapsed="false">
      <c r="A37" s="8" t="s">
        <v>129</v>
      </c>
      <c r="B37" s="8" t="s">
        <v>362</v>
      </c>
      <c r="C37" s="8" t="s">
        <v>353</v>
      </c>
      <c r="D37" s="8" t="s">
        <v>353</v>
      </c>
      <c r="E37" s="8" t="s">
        <v>364</v>
      </c>
      <c r="F37" s="8"/>
      <c r="G37" s="8"/>
      <c r="H37" s="8"/>
      <c r="I37" s="8" t="s">
        <v>39</v>
      </c>
    </row>
    <row r="38" customFormat="false" ht="15" hidden="false" customHeight="true" outlineLevel="0" collapsed="false">
      <c r="A38" s="8" t="s">
        <v>132</v>
      </c>
      <c r="B38" s="8" t="s">
        <v>351</v>
      </c>
      <c r="C38" s="8" t="s">
        <v>353</v>
      </c>
      <c r="D38" s="8" t="s">
        <v>353</v>
      </c>
      <c r="E38" s="8" t="s">
        <v>354</v>
      </c>
      <c r="F38" s="8"/>
      <c r="G38" s="8"/>
      <c r="H38" s="8" t="s">
        <v>39</v>
      </c>
      <c r="I38" s="8"/>
    </row>
    <row r="39" customFormat="false" ht="15" hidden="false" customHeight="true" outlineLevel="0" collapsed="false">
      <c r="A39" s="8" t="s">
        <v>134</v>
      </c>
      <c r="B39" s="8" t="s">
        <v>362</v>
      </c>
      <c r="C39" s="8" t="s">
        <v>367</v>
      </c>
      <c r="D39" s="8" t="s">
        <v>353</v>
      </c>
      <c r="E39" s="8" t="s">
        <v>363</v>
      </c>
      <c r="F39" s="8"/>
      <c r="G39" s="8"/>
      <c r="H39" s="8" t="s">
        <v>39</v>
      </c>
      <c r="I39" s="8"/>
    </row>
    <row r="40" customFormat="false" ht="15" hidden="false" customHeight="true" outlineLevel="0" collapsed="false">
      <c r="A40" s="8" t="s">
        <v>137</v>
      </c>
      <c r="B40" s="8" t="s">
        <v>355</v>
      </c>
      <c r="C40" s="8" t="s">
        <v>353</v>
      </c>
      <c r="D40" s="8" t="s">
        <v>357</v>
      </c>
      <c r="E40" s="8" t="s">
        <v>365</v>
      </c>
      <c r="F40" s="8"/>
      <c r="G40" s="8"/>
      <c r="H40" s="8" t="s">
        <v>39</v>
      </c>
      <c r="I40" s="8"/>
    </row>
    <row r="41" customFormat="false" ht="15" hidden="false" customHeight="true" outlineLevel="0" collapsed="false">
      <c r="A41" s="8" t="s">
        <v>140</v>
      </c>
      <c r="B41" s="8" t="s">
        <v>362</v>
      </c>
      <c r="C41" s="8" t="s">
        <v>353</v>
      </c>
      <c r="D41" s="8" t="s">
        <v>353</v>
      </c>
      <c r="E41" s="8" t="s">
        <v>353</v>
      </c>
      <c r="F41" s="8"/>
      <c r="G41" s="8" t="s">
        <v>39</v>
      </c>
      <c r="H41" s="8" t="s">
        <v>39</v>
      </c>
      <c r="I41" s="8"/>
    </row>
    <row r="42" customFormat="false" ht="15" hidden="false" customHeight="true" outlineLevel="0" collapsed="false">
      <c r="A42" s="8" t="s">
        <v>144</v>
      </c>
      <c r="B42" s="8" t="s">
        <v>351</v>
      </c>
      <c r="C42" s="8" t="s">
        <v>356</v>
      </c>
      <c r="D42" s="8" t="s">
        <v>353</v>
      </c>
      <c r="E42" s="8" t="s">
        <v>354</v>
      </c>
      <c r="F42" s="8"/>
      <c r="G42" s="8"/>
      <c r="H42" s="8" t="s">
        <v>39</v>
      </c>
      <c r="I42" s="8"/>
    </row>
    <row r="43" customFormat="false" ht="15" hidden="false" customHeight="true" outlineLevel="0" collapsed="false">
      <c r="A43" s="8" t="s">
        <v>146</v>
      </c>
      <c r="B43" s="8" t="s">
        <v>351</v>
      </c>
      <c r="C43" s="8" t="s">
        <v>353</v>
      </c>
      <c r="D43" s="8" t="s">
        <v>353</v>
      </c>
      <c r="E43" s="8" t="s">
        <v>365</v>
      </c>
      <c r="F43" s="8"/>
      <c r="G43" s="8"/>
      <c r="H43" s="8" t="s">
        <v>39</v>
      </c>
      <c r="I43" s="8"/>
    </row>
    <row r="44" customFormat="false" ht="15" hidden="false" customHeight="true" outlineLevel="0" collapsed="false">
      <c r="A44" s="8" t="s">
        <v>148</v>
      </c>
      <c r="B44" s="8" t="s">
        <v>362</v>
      </c>
      <c r="C44" s="8" t="s">
        <v>353</v>
      </c>
      <c r="D44" s="8" t="s">
        <v>357</v>
      </c>
      <c r="E44" s="8" t="s">
        <v>354</v>
      </c>
      <c r="F44" s="8"/>
      <c r="G44" s="8"/>
      <c r="H44" s="8" t="s">
        <v>39</v>
      </c>
      <c r="I44" s="8"/>
    </row>
    <row r="45" customFormat="false" ht="15" hidden="false" customHeight="true" outlineLevel="0" collapsed="false">
      <c r="A45" s="8" t="s">
        <v>151</v>
      </c>
      <c r="B45" s="8" t="s">
        <v>351</v>
      </c>
      <c r="C45" s="8" t="s">
        <v>361</v>
      </c>
      <c r="D45" s="8" t="s">
        <v>353</v>
      </c>
      <c r="E45" s="8" t="s">
        <v>354</v>
      </c>
      <c r="F45" s="8"/>
      <c r="G45" s="8"/>
      <c r="H45" s="8"/>
      <c r="I45" s="8"/>
    </row>
    <row r="46" customFormat="false" ht="15" hidden="false" customHeight="true" outlineLevel="0" collapsed="false">
      <c r="A46" s="8" t="s">
        <v>154</v>
      </c>
      <c r="B46" s="8" t="s">
        <v>351</v>
      </c>
      <c r="C46" s="8" t="s">
        <v>353</v>
      </c>
      <c r="D46" s="8" t="s">
        <v>353</v>
      </c>
      <c r="E46" s="8" t="s">
        <v>353</v>
      </c>
      <c r="F46" s="8"/>
      <c r="G46" s="8"/>
      <c r="H46" s="8" t="s">
        <v>39</v>
      </c>
      <c r="I46" s="8"/>
    </row>
    <row r="47" customFormat="false" ht="15" hidden="false" customHeight="true" outlineLevel="0" collapsed="false">
      <c r="A47" s="8" t="s">
        <v>156</v>
      </c>
      <c r="B47" s="8" t="s">
        <v>355</v>
      </c>
      <c r="C47" s="8" t="s">
        <v>367</v>
      </c>
      <c r="D47" s="8" t="s">
        <v>353</v>
      </c>
      <c r="E47" s="8" t="s">
        <v>354</v>
      </c>
      <c r="F47" s="8"/>
      <c r="G47" s="8"/>
      <c r="H47" s="8" t="s">
        <v>39</v>
      </c>
      <c r="I47" s="8"/>
    </row>
    <row r="48" customFormat="false" ht="15" hidden="false" customHeight="true" outlineLevel="0" collapsed="false">
      <c r="A48" s="8" t="s">
        <v>159</v>
      </c>
      <c r="B48" s="8" t="s">
        <v>362</v>
      </c>
      <c r="C48" s="8" t="s">
        <v>358</v>
      </c>
      <c r="D48" s="8" t="s">
        <v>359</v>
      </c>
      <c r="E48" s="8" t="s">
        <v>353</v>
      </c>
      <c r="F48" s="8"/>
      <c r="G48" s="8"/>
      <c r="H48" s="8"/>
      <c r="I48" s="8"/>
    </row>
    <row r="49" customFormat="false" ht="15" hidden="false" customHeight="true" outlineLevel="0" collapsed="false">
      <c r="A49" s="8" t="s">
        <v>162</v>
      </c>
      <c r="B49" s="8" t="s">
        <v>351</v>
      </c>
      <c r="C49" s="8" t="s">
        <v>353</v>
      </c>
      <c r="D49" s="8" t="s">
        <v>359</v>
      </c>
      <c r="E49" s="8" t="s">
        <v>365</v>
      </c>
      <c r="F49" s="8" t="s">
        <v>7</v>
      </c>
      <c r="G49" s="8"/>
      <c r="H49" s="8" t="s">
        <v>39</v>
      </c>
      <c r="I49" s="8"/>
    </row>
    <row r="50" customFormat="false" ht="15" hidden="false" customHeight="true" outlineLevel="0" collapsed="false">
      <c r="A50" s="8" t="s">
        <v>165</v>
      </c>
      <c r="B50" s="8" t="s">
        <v>351</v>
      </c>
      <c r="C50" s="8" t="s">
        <v>361</v>
      </c>
      <c r="D50" s="8" t="s">
        <v>353</v>
      </c>
      <c r="E50" s="8" t="s">
        <v>363</v>
      </c>
      <c r="F50" s="8"/>
      <c r="G50" s="8"/>
      <c r="H50" s="8" t="s">
        <v>39</v>
      </c>
      <c r="I50" s="8"/>
    </row>
    <row r="51" customFormat="false" ht="15" hidden="false" customHeight="true" outlineLevel="0" collapsed="false">
      <c r="A51" s="8" t="s">
        <v>168</v>
      </c>
      <c r="B51" s="8" t="s">
        <v>351</v>
      </c>
      <c r="C51" s="8" t="s">
        <v>353</v>
      </c>
      <c r="D51" s="8" t="s">
        <v>353</v>
      </c>
      <c r="E51" s="8" t="s">
        <v>368</v>
      </c>
      <c r="F51" s="8"/>
      <c r="G51" s="8"/>
      <c r="H51" s="8" t="s">
        <v>39</v>
      </c>
      <c r="I51" s="8"/>
    </row>
    <row r="52" customFormat="false" ht="15" hidden="false" customHeight="true" outlineLevel="0" collapsed="false">
      <c r="A52" s="8" t="s">
        <v>172</v>
      </c>
      <c r="B52" s="8" t="s">
        <v>362</v>
      </c>
      <c r="C52" s="8" t="s">
        <v>352</v>
      </c>
      <c r="D52" s="8" t="s">
        <v>353</v>
      </c>
      <c r="E52" s="8" t="s">
        <v>364</v>
      </c>
      <c r="F52" s="8"/>
      <c r="G52" s="8"/>
      <c r="H52" s="8" t="s">
        <v>39</v>
      </c>
      <c r="I52" s="8" t="s">
        <v>39</v>
      </c>
    </row>
    <row r="53" customFormat="false" ht="15" hidden="false" customHeight="true" outlineLevel="0" collapsed="false">
      <c r="A53" s="8" t="s">
        <v>174</v>
      </c>
      <c r="B53" s="8" t="s">
        <v>355</v>
      </c>
      <c r="C53" s="8" t="s">
        <v>356</v>
      </c>
      <c r="D53" s="8" t="s">
        <v>359</v>
      </c>
      <c r="E53" s="8" t="s">
        <v>354</v>
      </c>
      <c r="F53" s="8"/>
      <c r="G53" s="8"/>
      <c r="H53" s="8" t="s">
        <v>39</v>
      </c>
      <c r="I53" s="8"/>
    </row>
    <row r="54" customFormat="false" ht="15" hidden="false" customHeight="true" outlineLevel="0" collapsed="false">
      <c r="A54" s="8" t="s">
        <v>177</v>
      </c>
      <c r="B54" s="8" t="s">
        <v>355</v>
      </c>
      <c r="C54" s="8" t="s">
        <v>353</v>
      </c>
      <c r="D54" s="8" t="s">
        <v>353</v>
      </c>
      <c r="E54" s="8" t="s">
        <v>353</v>
      </c>
      <c r="F54" s="8"/>
      <c r="G54" s="8" t="s">
        <v>39</v>
      </c>
      <c r="H54" s="8" t="s">
        <v>39</v>
      </c>
      <c r="I54" s="8"/>
    </row>
    <row r="55" customFormat="false" ht="15" hidden="false" customHeight="true" outlineLevel="0" collapsed="false">
      <c r="A55" s="8" t="s">
        <v>180</v>
      </c>
      <c r="B55" s="8" t="s">
        <v>351</v>
      </c>
      <c r="C55" s="8" t="s">
        <v>356</v>
      </c>
      <c r="D55" s="8" t="s">
        <v>353</v>
      </c>
      <c r="E55" s="8" t="s">
        <v>354</v>
      </c>
      <c r="F55" s="8"/>
      <c r="G55" s="8"/>
      <c r="H55" s="8" t="s">
        <v>39</v>
      </c>
      <c r="I55" s="8"/>
    </row>
    <row r="56" customFormat="false" ht="15" hidden="false" customHeight="true" outlineLevel="0" collapsed="false">
      <c r="A56" s="8" t="s">
        <v>183</v>
      </c>
      <c r="B56" s="8" t="s">
        <v>351</v>
      </c>
      <c r="C56" s="8" t="s">
        <v>367</v>
      </c>
      <c r="D56" s="8" t="s">
        <v>353</v>
      </c>
      <c r="E56" s="8" t="s">
        <v>354</v>
      </c>
      <c r="F56" s="8"/>
      <c r="G56" s="8"/>
      <c r="H56" s="8" t="s">
        <v>39</v>
      </c>
      <c r="I56" s="8"/>
    </row>
    <row r="57" customFormat="false" ht="15" hidden="false" customHeight="true" outlineLevel="0" collapsed="false">
      <c r="A57" s="8" t="s">
        <v>186</v>
      </c>
      <c r="B57" s="8" t="s">
        <v>351</v>
      </c>
      <c r="C57" s="8" t="s">
        <v>353</v>
      </c>
      <c r="D57" s="8" t="s">
        <v>353</v>
      </c>
      <c r="E57" s="8" t="s">
        <v>353</v>
      </c>
      <c r="F57" s="8"/>
      <c r="G57" s="8" t="s">
        <v>39</v>
      </c>
      <c r="H57" s="8" t="s">
        <v>39</v>
      </c>
      <c r="I57" s="8"/>
    </row>
    <row r="58" customFormat="false" ht="15" hidden="false" customHeight="true" outlineLevel="0" collapsed="false">
      <c r="A58" s="8" t="s">
        <v>188</v>
      </c>
      <c r="B58" s="8" t="s">
        <v>362</v>
      </c>
      <c r="C58" s="8" t="s">
        <v>352</v>
      </c>
      <c r="D58" s="8" t="s">
        <v>353</v>
      </c>
      <c r="E58" s="8" t="s">
        <v>364</v>
      </c>
      <c r="F58" s="8"/>
      <c r="G58" s="8"/>
      <c r="H58" s="8" t="s">
        <v>39</v>
      </c>
      <c r="I58" s="8" t="s">
        <v>39</v>
      </c>
    </row>
    <row r="59" customFormat="false" ht="15" hidden="false" customHeight="true" outlineLevel="0" collapsed="false">
      <c r="A59" s="8" t="s">
        <v>190</v>
      </c>
      <c r="B59" s="8" t="s">
        <v>351</v>
      </c>
      <c r="C59" s="8" t="s">
        <v>353</v>
      </c>
      <c r="D59" s="8" t="s">
        <v>353</v>
      </c>
      <c r="E59" s="8" t="s">
        <v>354</v>
      </c>
      <c r="F59" s="8" t="s">
        <v>6</v>
      </c>
      <c r="G59" s="8"/>
      <c r="H59" s="8" t="s">
        <v>39</v>
      </c>
      <c r="I59" s="8"/>
    </row>
    <row r="60" customFormat="false" ht="15" hidden="false" customHeight="true" outlineLevel="0" collapsed="false">
      <c r="A60" s="8" t="s">
        <v>192</v>
      </c>
      <c r="B60" s="8" t="s">
        <v>351</v>
      </c>
      <c r="C60" s="8" t="s">
        <v>358</v>
      </c>
      <c r="D60" s="8" t="s">
        <v>353</v>
      </c>
      <c r="E60" s="8" t="s">
        <v>365</v>
      </c>
      <c r="F60" s="8"/>
      <c r="G60" s="8"/>
      <c r="H60" s="8" t="s">
        <v>39</v>
      </c>
      <c r="I60" s="8"/>
    </row>
    <row r="61" customFormat="false" ht="15" hidden="false" customHeight="true" outlineLevel="0" collapsed="false">
      <c r="A61" s="8" t="s">
        <v>195</v>
      </c>
      <c r="B61" s="8" t="s">
        <v>355</v>
      </c>
      <c r="C61" s="8" t="s">
        <v>353</v>
      </c>
      <c r="D61" s="8" t="s">
        <v>353</v>
      </c>
      <c r="E61" s="8" t="s">
        <v>353</v>
      </c>
      <c r="F61" s="8"/>
      <c r="G61" s="8" t="s">
        <v>39</v>
      </c>
      <c r="H61" s="8" t="s">
        <v>39</v>
      </c>
      <c r="I61" s="8" t="s">
        <v>39</v>
      </c>
    </row>
    <row r="62" customFormat="false" ht="15" hidden="false" customHeight="true" outlineLevel="0" collapsed="false">
      <c r="A62" s="8" t="s">
        <v>198</v>
      </c>
      <c r="B62" s="8" t="s">
        <v>351</v>
      </c>
      <c r="C62" s="8" t="s">
        <v>353</v>
      </c>
      <c r="D62" s="8" t="s">
        <v>353</v>
      </c>
      <c r="E62" s="8" t="s">
        <v>369</v>
      </c>
      <c r="F62" s="8"/>
      <c r="G62" s="8"/>
      <c r="H62" s="8" t="s">
        <v>39</v>
      </c>
      <c r="I62" s="8"/>
    </row>
    <row r="63" customFormat="false" ht="15" hidden="false" customHeight="true" outlineLevel="0" collapsed="false">
      <c r="A63" s="8" t="s">
        <v>201</v>
      </c>
      <c r="B63" s="8" t="s">
        <v>355</v>
      </c>
      <c r="C63" s="8" t="s">
        <v>353</v>
      </c>
      <c r="D63" s="8" t="s">
        <v>353</v>
      </c>
      <c r="E63" s="8" t="s">
        <v>353</v>
      </c>
      <c r="F63" s="8" t="s">
        <v>5</v>
      </c>
      <c r="G63" s="8" t="s">
        <v>39</v>
      </c>
      <c r="H63" s="8" t="s">
        <v>39</v>
      </c>
      <c r="I63" s="8"/>
    </row>
    <row r="64" customFormat="false" ht="15" hidden="false" customHeight="true" outlineLevel="0" collapsed="false">
      <c r="A64" s="8" t="s">
        <v>204</v>
      </c>
      <c r="B64" s="8" t="s">
        <v>351</v>
      </c>
      <c r="C64" s="8" t="s">
        <v>358</v>
      </c>
      <c r="D64" s="8" t="s">
        <v>353</v>
      </c>
      <c r="E64" s="8" t="s">
        <v>354</v>
      </c>
      <c r="F64" s="8" t="s">
        <v>8</v>
      </c>
      <c r="G64" s="8"/>
      <c r="H64" s="8" t="s">
        <v>39</v>
      </c>
      <c r="I64" s="8"/>
    </row>
    <row r="65" customFormat="false" ht="15" hidden="false" customHeight="true" outlineLevel="0" collapsed="false">
      <c r="A65" s="8" t="s">
        <v>207</v>
      </c>
      <c r="B65" s="8" t="s">
        <v>362</v>
      </c>
      <c r="C65" s="8" t="s">
        <v>353</v>
      </c>
      <c r="D65" s="8" t="s">
        <v>366</v>
      </c>
      <c r="E65" s="8" t="s">
        <v>354</v>
      </c>
      <c r="F65" s="8"/>
      <c r="G65" s="8"/>
      <c r="H65" s="8" t="s">
        <v>39</v>
      </c>
      <c r="I65" s="8"/>
    </row>
    <row r="66" customFormat="false" ht="15" hidden="false" customHeight="true" outlineLevel="0" collapsed="false">
      <c r="A66" s="8" t="s">
        <v>209</v>
      </c>
      <c r="B66" s="8" t="s">
        <v>362</v>
      </c>
      <c r="C66" s="8" t="s">
        <v>353</v>
      </c>
      <c r="D66" s="8" t="s">
        <v>353</v>
      </c>
      <c r="E66" s="8" t="s">
        <v>354</v>
      </c>
      <c r="F66" s="8" t="s">
        <v>5</v>
      </c>
      <c r="G66" s="8"/>
      <c r="H66" s="8" t="s">
        <v>39</v>
      </c>
      <c r="I66" s="8"/>
    </row>
    <row r="67" customFormat="false" ht="15" hidden="false" customHeight="true" outlineLevel="0" collapsed="false">
      <c r="A67" s="8" t="s">
        <v>212</v>
      </c>
      <c r="B67" s="8" t="s">
        <v>362</v>
      </c>
      <c r="C67" s="8" t="s">
        <v>358</v>
      </c>
      <c r="D67" s="8" t="s">
        <v>353</v>
      </c>
      <c r="E67" s="8" t="s">
        <v>369</v>
      </c>
      <c r="F67" s="8"/>
      <c r="G67" s="8"/>
      <c r="H67" s="8" t="s">
        <v>39</v>
      </c>
      <c r="I67" s="8"/>
    </row>
    <row r="68" customFormat="false" ht="15" hidden="false" customHeight="true" outlineLevel="0" collapsed="false">
      <c r="A68" s="8" t="s">
        <v>215</v>
      </c>
      <c r="B68" s="8" t="s">
        <v>351</v>
      </c>
      <c r="C68" s="8" t="s">
        <v>361</v>
      </c>
      <c r="D68" s="8" t="s">
        <v>353</v>
      </c>
      <c r="E68" s="8" t="s">
        <v>354</v>
      </c>
      <c r="F68" s="8"/>
      <c r="G68" s="8"/>
      <c r="H68" s="8" t="s">
        <v>39</v>
      </c>
      <c r="I68" s="8"/>
    </row>
    <row r="69" customFormat="false" ht="15" hidden="false" customHeight="true" outlineLevel="0" collapsed="false">
      <c r="A69" s="8" t="s">
        <v>218</v>
      </c>
      <c r="B69" s="8" t="s">
        <v>355</v>
      </c>
      <c r="C69" s="8" t="s">
        <v>356</v>
      </c>
      <c r="D69" s="8" t="s">
        <v>353</v>
      </c>
      <c r="E69" s="8" t="s">
        <v>354</v>
      </c>
      <c r="F69" s="8"/>
      <c r="G69" s="8"/>
      <c r="H69" s="8" t="s">
        <v>39</v>
      </c>
      <c r="I69" s="8" t="s">
        <v>39</v>
      </c>
    </row>
    <row r="70" customFormat="false" ht="15" hidden="false" customHeight="true" outlineLevel="0" collapsed="false">
      <c r="A70" s="8" t="s">
        <v>221</v>
      </c>
      <c r="B70" s="8" t="s">
        <v>362</v>
      </c>
      <c r="C70" s="8" t="s">
        <v>356</v>
      </c>
      <c r="D70" s="8" t="s">
        <v>353</v>
      </c>
      <c r="E70" s="8" t="s">
        <v>364</v>
      </c>
      <c r="F70" s="8"/>
      <c r="G70" s="8"/>
      <c r="H70" s="8"/>
      <c r="I70" s="8" t="s">
        <v>39</v>
      </c>
    </row>
    <row r="71" customFormat="false" ht="15" hidden="false" customHeight="true" outlineLevel="0" collapsed="false">
      <c r="A71" s="8" t="s">
        <v>224</v>
      </c>
      <c r="B71" s="8" t="s">
        <v>351</v>
      </c>
      <c r="C71" s="8" t="s">
        <v>353</v>
      </c>
      <c r="D71" s="8" t="s">
        <v>357</v>
      </c>
      <c r="E71" s="8" t="s">
        <v>354</v>
      </c>
      <c r="F71" s="8"/>
      <c r="G71" s="8"/>
      <c r="H71" s="8"/>
      <c r="I71" s="8"/>
    </row>
    <row r="72" customFormat="false" ht="15" hidden="false" customHeight="true" outlineLevel="0" collapsed="false">
      <c r="A72" s="8" t="s">
        <v>227</v>
      </c>
      <c r="B72" s="8" t="s">
        <v>351</v>
      </c>
      <c r="C72" s="8" t="s">
        <v>361</v>
      </c>
      <c r="D72" s="8" t="s">
        <v>353</v>
      </c>
      <c r="E72" s="8" t="s">
        <v>354</v>
      </c>
      <c r="F72" s="8"/>
      <c r="G72" s="8"/>
      <c r="H72" s="8" t="s">
        <v>39</v>
      </c>
      <c r="I72" s="8"/>
    </row>
    <row r="73" customFormat="false" ht="15" hidden="false" customHeight="true" outlineLevel="0" collapsed="false">
      <c r="A73" s="8" t="s">
        <v>230</v>
      </c>
      <c r="B73" s="8" t="s">
        <v>355</v>
      </c>
      <c r="C73" s="8" t="s">
        <v>353</v>
      </c>
      <c r="D73" s="8" t="s">
        <v>353</v>
      </c>
      <c r="E73" s="8" t="s">
        <v>364</v>
      </c>
      <c r="F73" s="8"/>
      <c r="G73" s="8"/>
      <c r="H73" s="8" t="s">
        <v>39</v>
      </c>
      <c r="I73" s="8" t="s">
        <v>39</v>
      </c>
    </row>
    <row r="74" customFormat="false" ht="15" hidden="false" customHeight="true" outlineLevel="0" collapsed="false">
      <c r="A74" s="8" t="s">
        <v>232</v>
      </c>
      <c r="B74" s="8" t="s">
        <v>351</v>
      </c>
      <c r="C74" s="8" t="s">
        <v>353</v>
      </c>
      <c r="D74" s="8" t="s">
        <v>353</v>
      </c>
      <c r="E74" s="8" t="s">
        <v>354</v>
      </c>
      <c r="F74" s="8"/>
      <c r="G74" s="8"/>
      <c r="H74" s="8" t="s">
        <v>39</v>
      </c>
      <c r="I74" s="8"/>
    </row>
    <row r="75" customFormat="false" ht="15" hidden="false" customHeight="true" outlineLevel="0" collapsed="false">
      <c r="A75" s="8" t="s">
        <v>235</v>
      </c>
      <c r="B75" s="8" t="s">
        <v>362</v>
      </c>
      <c r="C75" s="8" t="s">
        <v>353</v>
      </c>
      <c r="D75" s="8" t="s">
        <v>353</v>
      </c>
      <c r="E75" s="8" t="s">
        <v>354</v>
      </c>
      <c r="F75" s="8"/>
      <c r="G75" s="8"/>
      <c r="H75" s="8" t="s">
        <v>39</v>
      </c>
      <c r="I75" s="8"/>
    </row>
    <row r="76" customFormat="false" ht="15" hidden="false" customHeight="true" outlineLevel="0" collapsed="false">
      <c r="A76" s="8" t="s">
        <v>238</v>
      </c>
      <c r="B76" s="8" t="s">
        <v>355</v>
      </c>
      <c r="C76" s="8" t="s">
        <v>353</v>
      </c>
      <c r="D76" s="8" t="s">
        <v>353</v>
      </c>
      <c r="E76" s="8" t="s">
        <v>354</v>
      </c>
      <c r="F76" s="8" t="s">
        <v>4</v>
      </c>
      <c r="G76" s="8"/>
      <c r="H76" s="8" t="s">
        <v>39</v>
      </c>
      <c r="I76" s="8"/>
    </row>
    <row r="77" customFormat="false" ht="15" hidden="false" customHeight="true" outlineLevel="0" collapsed="false">
      <c r="A77" s="8" t="s">
        <v>240</v>
      </c>
      <c r="B77" s="8" t="s">
        <v>351</v>
      </c>
      <c r="C77" s="8" t="s">
        <v>353</v>
      </c>
      <c r="D77" s="8" t="s">
        <v>353</v>
      </c>
      <c r="E77" s="8" t="s">
        <v>354</v>
      </c>
      <c r="F77" s="8"/>
      <c r="G77" s="8"/>
      <c r="H77" s="8" t="s">
        <v>39</v>
      </c>
      <c r="I77" s="8"/>
    </row>
    <row r="78" customFormat="false" ht="15" hidden="false" customHeight="true" outlineLevel="0" collapsed="false">
      <c r="A78" s="8" t="s">
        <v>242</v>
      </c>
      <c r="B78" s="8" t="s">
        <v>362</v>
      </c>
      <c r="C78" s="8" t="s">
        <v>352</v>
      </c>
      <c r="D78" s="8" t="s">
        <v>353</v>
      </c>
      <c r="E78" s="8" t="s">
        <v>353</v>
      </c>
      <c r="F78" s="8" t="s">
        <v>8</v>
      </c>
      <c r="G78" s="8"/>
      <c r="H78" s="8"/>
      <c r="I78" s="8"/>
    </row>
    <row r="79" customFormat="false" ht="15" hidden="false" customHeight="true" outlineLevel="0" collapsed="false">
      <c r="A79" s="8" t="s">
        <v>245</v>
      </c>
      <c r="B79" s="8" t="s">
        <v>355</v>
      </c>
      <c r="C79" s="8" t="s">
        <v>356</v>
      </c>
      <c r="D79" s="8" t="s">
        <v>357</v>
      </c>
      <c r="E79" s="8" t="s">
        <v>368</v>
      </c>
      <c r="F79" s="8"/>
      <c r="G79" s="8"/>
      <c r="H79" s="8" t="s">
        <v>39</v>
      </c>
      <c r="I79" s="8"/>
    </row>
    <row r="80" customFormat="false" ht="15" hidden="false" customHeight="true" outlineLevel="0" collapsed="false">
      <c r="A80" s="8" t="s">
        <v>248</v>
      </c>
      <c r="B80" s="8" t="s">
        <v>351</v>
      </c>
      <c r="C80" s="8" t="s">
        <v>356</v>
      </c>
      <c r="D80" s="8" t="s">
        <v>353</v>
      </c>
      <c r="E80" s="8" t="s">
        <v>360</v>
      </c>
      <c r="F80" s="8" t="s">
        <v>5</v>
      </c>
      <c r="G80" s="8"/>
      <c r="H80" s="8" t="s">
        <v>39</v>
      </c>
      <c r="I80" s="8"/>
    </row>
    <row r="81" customFormat="false" ht="15" hidden="false" customHeight="true" outlineLevel="0" collapsed="false">
      <c r="A81" s="8" t="s">
        <v>250</v>
      </c>
      <c r="B81" s="8" t="s">
        <v>362</v>
      </c>
      <c r="C81" s="8" t="s">
        <v>353</v>
      </c>
      <c r="D81" s="8" t="s">
        <v>353</v>
      </c>
      <c r="E81" s="8" t="s">
        <v>354</v>
      </c>
      <c r="F81" s="8"/>
      <c r="G81" s="8"/>
      <c r="H81" s="8" t="s">
        <v>39</v>
      </c>
      <c r="I81" s="8"/>
    </row>
    <row r="82" customFormat="false" ht="15" hidden="false" customHeight="true" outlineLevel="0" collapsed="false">
      <c r="A82" s="8" t="s">
        <v>252</v>
      </c>
      <c r="B82" s="8" t="s">
        <v>362</v>
      </c>
      <c r="C82" s="8" t="s">
        <v>353</v>
      </c>
      <c r="D82" s="8" t="s">
        <v>366</v>
      </c>
      <c r="E82" s="8" t="s">
        <v>369</v>
      </c>
      <c r="F82" s="8"/>
      <c r="G82" s="8"/>
      <c r="H82" s="8" t="s">
        <v>39</v>
      </c>
      <c r="I82" s="8"/>
    </row>
    <row r="83" customFormat="false" ht="15" hidden="false" customHeight="true" outlineLevel="0" collapsed="false">
      <c r="A83" s="8" t="s">
        <v>255</v>
      </c>
      <c r="B83" s="8" t="s">
        <v>351</v>
      </c>
      <c r="C83" s="8" t="s">
        <v>358</v>
      </c>
      <c r="D83" s="8" t="s">
        <v>353</v>
      </c>
      <c r="E83" s="8" t="s">
        <v>354</v>
      </c>
      <c r="F83" s="8" t="s">
        <v>4</v>
      </c>
      <c r="G83" s="8"/>
      <c r="H83" s="8"/>
      <c r="I83" s="8"/>
    </row>
    <row r="84" customFormat="false" ht="15" hidden="false" customHeight="true" outlineLevel="0" collapsed="false">
      <c r="A84" s="8" t="s">
        <v>257</v>
      </c>
      <c r="B84" s="8" t="s">
        <v>355</v>
      </c>
      <c r="C84" s="8" t="s">
        <v>361</v>
      </c>
      <c r="D84" s="8" t="s">
        <v>353</v>
      </c>
      <c r="E84" s="8" t="s">
        <v>354</v>
      </c>
      <c r="F84" s="8"/>
      <c r="G84" s="8"/>
      <c r="H84" s="8" t="s">
        <v>39</v>
      </c>
      <c r="I84" s="8"/>
    </row>
    <row r="85" customFormat="false" ht="15" hidden="false" customHeight="true" outlineLevel="0" collapsed="false">
      <c r="A85" s="8" t="s">
        <v>259</v>
      </c>
      <c r="B85" s="8" t="s">
        <v>355</v>
      </c>
      <c r="C85" s="8" t="s">
        <v>353</v>
      </c>
      <c r="D85" s="8" t="s">
        <v>353</v>
      </c>
      <c r="E85" s="8" t="s">
        <v>353</v>
      </c>
      <c r="F85" s="8"/>
      <c r="G85" s="8" t="s">
        <v>39</v>
      </c>
      <c r="H85" s="8" t="s">
        <v>39</v>
      </c>
      <c r="I85" s="8"/>
    </row>
    <row r="86" customFormat="false" ht="15" hidden="false" customHeight="true" outlineLevel="0" collapsed="false">
      <c r="A86" s="8" t="s">
        <v>262</v>
      </c>
      <c r="B86" s="8" t="s">
        <v>362</v>
      </c>
      <c r="C86" s="8" t="s">
        <v>367</v>
      </c>
      <c r="D86" s="8" t="s">
        <v>353</v>
      </c>
      <c r="E86" s="8" t="s">
        <v>353</v>
      </c>
      <c r="F86" s="8"/>
      <c r="G86" s="8"/>
      <c r="H86" s="8" t="s">
        <v>39</v>
      </c>
      <c r="I86" s="8"/>
    </row>
    <row r="87" customFormat="false" ht="15" hidden="false" customHeight="true" outlineLevel="0" collapsed="false">
      <c r="A87" s="8" t="s">
        <v>264</v>
      </c>
      <c r="B87" s="8" t="s">
        <v>351</v>
      </c>
      <c r="C87" s="8" t="s">
        <v>367</v>
      </c>
      <c r="D87" s="8" t="s">
        <v>353</v>
      </c>
      <c r="E87" s="8" t="s">
        <v>354</v>
      </c>
      <c r="F87" s="8"/>
      <c r="G87" s="8"/>
      <c r="H87" s="8" t="s">
        <v>39</v>
      </c>
      <c r="I87" s="8"/>
    </row>
    <row r="88" customFormat="false" ht="15" hidden="false" customHeight="true" outlineLevel="0" collapsed="false">
      <c r="A88" s="8" t="s">
        <v>267</v>
      </c>
      <c r="B88" s="8" t="s">
        <v>355</v>
      </c>
      <c r="C88" s="8" t="s">
        <v>367</v>
      </c>
      <c r="D88" s="8" t="s">
        <v>353</v>
      </c>
      <c r="E88" s="8" t="s">
        <v>354</v>
      </c>
      <c r="F88" s="8"/>
      <c r="G88" s="8"/>
      <c r="H88" s="8" t="s">
        <v>39</v>
      </c>
      <c r="I88" s="8"/>
    </row>
    <row r="89" customFormat="false" ht="15" hidden="false" customHeight="true" outlineLevel="0" collapsed="false">
      <c r="A89" s="8" t="s">
        <v>270</v>
      </c>
      <c r="B89" s="8" t="s">
        <v>355</v>
      </c>
      <c r="C89" s="8" t="s">
        <v>353</v>
      </c>
      <c r="D89" s="8" t="s">
        <v>353</v>
      </c>
      <c r="E89" s="8" t="s">
        <v>354</v>
      </c>
      <c r="F89" s="8"/>
      <c r="G89" s="8"/>
      <c r="H89" s="8" t="s">
        <v>39</v>
      </c>
      <c r="I89" s="8"/>
    </row>
    <row r="90" customFormat="false" ht="15" hidden="false" customHeight="true" outlineLevel="0" collapsed="false">
      <c r="A90" s="8" t="s">
        <v>272</v>
      </c>
      <c r="B90" s="8" t="s">
        <v>355</v>
      </c>
      <c r="C90" s="8" t="s">
        <v>353</v>
      </c>
      <c r="D90" s="8" t="s">
        <v>353</v>
      </c>
      <c r="E90" s="8" t="s">
        <v>354</v>
      </c>
      <c r="F90" s="8"/>
      <c r="G90" s="8"/>
      <c r="H90" s="8" t="s">
        <v>39</v>
      </c>
      <c r="I90" s="8"/>
    </row>
    <row r="91" customFormat="false" ht="15" hidden="false" customHeight="true" outlineLevel="0" collapsed="false">
      <c r="A91" s="8" t="s">
        <v>274</v>
      </c>
      <c r="B91" s="8" t="s">
        <v>355</v>
      </c>
      <c r="C91" s="8" t="s">
        <v>353</v>
      </c>
      <c r="D91" s="8" t="s">
        <v>353</v>
      </c>
      <c r="E91" s="8" t="s">
        <v>369</v>
      </c>
      <c r="F91" s="8"/>
      <c r="G91" s="8"/>
      <c r="H91" s="8" t="s">
        <v>39</v>
      </c>
      <c r="I91" s="8" t="s">
        <v>39</v>
      </c>
    </row>
    <row r="92" customFormat="false" ht="15" hidden="false" customHeight="true" outlineLevel="0" collapsed="false">
      <c r="A92" s="8" t="s">
        <v>276</v>
      </c>
      <c r="B92" s="8" t="s">
        <v>351</v>
      </c>
      <c r="C92" s="8" t="s">
        <v>353</v>
      </c>
      <c r="D92" s="8" t="s">
        <v>361</v>
      </c>
      <c r="E92" s="8" t="s">
        <v>354</v>
      </c>
      <c r="F92" s="8"/>
      <c r="G92" s="8"/>
      <c r="H92" s="8"/>
      <c r="I92" s="8"/>
    </row>
    <row r="93" customFormat="false" ht="15" hidden="false" customHeight="true" outlineLevel="0" collapsed="false">
      <c r="A93" s="8" t="s">
        <v>279</v>
      </c>
      <c r="B93" s="8" t="s">
        <v>362</v>
      </c>
      <c r="C93" s="8" t="s">
        <v>353</v>
      </c>
      <c r="D93" s="8" t="s">
        <v>366</v>
      </c>
      <c r="E93" s="8" t="s">
        <v>354</v>
      </c>
      <c r="F93" s="8"/>
      <c r="G93" s="8"/>
      <c r="H93" s="8"/>
      <c r="I93" s="8"/>
    </row>
    <row r="94" customFormat="false" ht="15" hidden="false" customHeight="true" outlineLevel="0" collapsed="false">
      <c r="A94" s="8" t="s">
        <v>282</v>
      </c>
      <c r="B94" s="8" t="s">
        <v>355</v>
      </c>
      <c r="C94" s="8" t="s">
        <v>356</v>
      </c>
      <c r="D94" s="8" t="s">
        <v>360</v>
      </c>
      <c r="E94" s="8" t="s">
        <v>354</v>
      </c>
      <c r="F94" s="8"/>
      <c r="G94" s="8"/>
      <c r="H94" s="8" t="s">
        <v>39</v>
      </c>
      <c r="I94" s="8"/>
    </row>
    <row r="95" customFormat="false" ht="15" hidden="false" customHeight="true" outlineLevel="0" collapsed="false">
      <c r="A95" s="8" t="s">
        <v>286</v>
      </c>
      <c r="B95" s="8" t="s">
        <v>362</v>
      </c>
      <c r="C95" s="8" t="s">
        <v>356</v>
      </c>
      <c r="D95" s="8" t="s">
        <v>366</v>
      </c>
      <c r="E95" s="8" t="s">
        <v>369</v>
      </c>
      <c r="F95" s="8"/>
      <c r="G95" s="8"/>
      <c r="H95" s="8" t="s">
        <v>39</v>
      </c>
      <c r="I95" s="8"/>
    </row>
    <row r="96" customFormat="false" ht="15" hidden="false" customHeight="true" outlineLevel="0" collapsed="false">
      <c r="A96" s="8" t="s">
        <v>289</v>
      </c>
      <c r="B96" s="8" t="s">
        <v>355</v>
      </c>
      <c r="C96" s="8" t="s">
        <v>353</v>
      </c>
      <c r="D96" s="8" t="s">
        <v>359</v>
      </c>
      <c r="E96" s="8" t="s">
        <v>354</v>
      </c>
      <c r="F96" s="8"/>
      <c r="G96" s="8"/>
      <c r="H96" s="8" t="s">
        <v>39</v>
      </c>
      <c r="I96" s="8" t="s">
        <v>39</v>
      </c>
    </row>
    <row r="97" customFormat="false" ht="15" hidden="false" customHeight="true" outlineLevel="0" collapsed="false">
      <c r="A97" s="8" t="s">
        <v>292</v>
      </c>
      <c r="B97" s="8" t="s">
        <v>362</v>
      </c>
      <c r="C97" s="8" t="s">
        <v>353</v>
      </c>
      <c r="D97" s="8" t="s">
        <v>353</v>
      </c>
      <c r="E97" s="8" t="s">
        <v>353</v>
      </c>
      <c r="F97" s="8"/>
      <c r="G97" s="8" t="s">
        <v>39</v>
      </c>
      <c r="H97" s="8" t="s">
        <v>39</v>
      </c>
      <c r="I97" s="8"/>
    </row>
    <row r="98" customFormat="false" ht="15" hidden="false" customHeight="true" outlineLevel="0" collapsed="false">
      <c r="A98" s="8" t="s">
        <v>295</v>
      </c>
      <c r="B98" s="8" t="s">
        <v>355</v>
      </c>
      <c r="C98" s="8" t="s">
        <v>353</v>
      </c>
      <c r="D98" s="8" t="s">
        <v>353</v>
      </c>
      <c r="E98" s="8" t="s">
        <v>369</v>
      </c>
      <c r="F98" s="8"/>
      <c r="G98" s="8"/>
      <c r="H98" s="8" t="s">
        <v>39</v>
      </c>
      <c r="I98" s="8"/>
    </row>
    <row r="99" customFormat="false" ht="15" hidden="false" customHeight="true" outlineLevel="0" collapsed="false">
      <c r="A99" s="8" t="s">
        <v>298</v>
      </c>
      <c r="B99" s="8" t="s">
        <v>362</v>
      </c>
      <c r="C99" s="8" t="s">
        <v>358</v>
      </c>
      <c r="D99" s="8" t="s">
        <v>353</v>
      </c>
      <c r="E99" s="8" t="s">
        <v>363</v>
      </c>
      <c r="F99" s="8"/>
      <c r="G99" s="8"/>
      <c r="H99" s="8"/>
      <c r="I99" s="8"/>
    </row>
    <row r="100" customFormat="false" ht="15" hidden="false" customHeight="true" outlineLevel="0" collapsed="false">
      <c r="A100" s="8" t="s">
        <v>300</v>
      </c>
      <c r="B100" s="8" t="s">
        <v>355</v>
      </c>
      <c r="C100" s="8" t="s">
        <v>353</v>
      </c>
      <c r="D100" s="8" t="s">
        <v>353</v>
      </c>
      <c r="E100" s="8" t="s">
        <v>354</v>
      </c>
      <c r="F100" s="8"/>
      <c r="G100" s="8"/>
      <c r="H100" s="8" t="s">
        <v>39</v>
      </c>
      <c r="I100" s="8" t="s">
        <v>39</v>
      </c>
    </row>
    <row r="101" customFormat="false" ht="15" hidden="false" customHeight="true" outlineLevel="0" collapsed="false">
      <c r="A101" s="8" t="s">
        <v>302</v>
      </c>
      <c r="B101" s="8" t="s">
        <v>351</v>
      </c>
      <c r="C101" s="8" t="s">
        <v>353</v>
      </c>
      <c r="D101" s="8" t="s">
        <v>359</v>
      </c>
      <c r="E101" s="8" t="s">
        <v>360</v>
      </c>
      <c r="F101" s="8"/>
      <c r="G101" s="8"/>
      <c r="H101" s="8" t="s">
        <v>39</v>
      </c>
      <c r="I10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2026-10-16T19:45:10Z</dcterms:created>
  <dc:creator>openpyxl</dc:creator>
  <dc:description/>
  <dc:language>en-US</dc:language>
  <cp:lastModifiedBy/>
  <dcterms:modified xsi:type="dcterms:W3CDTF">2026-10-16T19:50:50Z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