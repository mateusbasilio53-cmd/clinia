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2fcdf4aca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Pacientes" sheetId="1" r:id="R223280bd38cb4590"/>
    <x:sheet xmlns:r="http://schemas.openxmlformats.org/officeDocument/2006/relationships" name="Criterios" sheetId="2" r:id="Rac6368c4ac534d52"/>
    <x:sheet xmlns:r="http://schemas.openxmlformats.org/officeDocument/2006/relationships" name="Resumo" sheetId="3" r:id="R5e919bcd8e25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yyyy-mm-dd"/>
    <x:numFmt numFmtId="203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c524df6424780" /><Relationship Type="http://schemas.openxmlformats.org/officeDocument/2006/relationships/theme" Target="/xl/theme/theme1.xml" Id="R572353f4746c4cca" /><Relationship Type="http://schemas.openxmlformats.org/officeDocument/2006/relationships/sharedStrings" Target="/xl/sharedStrings.xml" Id="R941ffc91e1b4491d" /><Relationship Type="http://schemas.openxmlformats.org/officeDocument/2006/relationships/worksheet" Target="/xl/worksheets/sheet1.xml" Id="R223280bd38cb4590" /><Relationship Type="http://schemas.openxmlformats.org/officeDocument/2006/relationships/worksheet" Target="/xl/worksheets/sheet2.xml" Id="Rac6368c4ac534d52" /><Relationship Type="http://schemas.openxmlformats.org/officeDocument/2006/relationships/worksheet" Target="/xl/worksheets/sheet3.xml" Id="R5e919bcd8e254f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2660dd306840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dos registros fictícios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N esperado</c:v>
          </c:tx>
          <c:cat>
            <c:strRef>
              <c:f>'Resumo'!$A$2:$A$4</c:f>
              <c:strCache>
                <c:ptCount val="0"/>
              </c:strCache>
            </c:strRef>
          </c:cat>
          <c:val>
            <c:numRef>
              <c:f>'Resumo'!$B$2:$B$4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 observado</c:v>
          </c:tx>
          <c:cat>
            <c:strRef>
              <c:f>'Resumo'!$A$2:$A$4</c:f>
              <c:strCache>
                <c:ptCount val="0"/>
              </c:strCache>
            </c:strRef>
          </c:cat>
          <c:val>
            <c:numRef>
              <c:f>'Resumo'!$C$2:$C$4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2660dd3068408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PacientesTable" displayName="BasePacientesTable" ref="A1:Q201" headerRowCount="1" totalsRowCount="0" totalsRowShown="0">
  <x:tableColumns count="17">
    <x:tableColumn id="1" name="id_paciente"/>
    <x:tableColumn id="2" name="idade"/>
    <x:tableColumn id="3" name="sexo"/>
    <x:tableColumn id="4" name="diagnostico"/>
    <x:tableColumn id="5" name="diagnostico_secundario"/>
    <x:tableColumn id="6" name="hba1c"/>
    <x:tableColumn id="7" name="creatinina"/>
    <x:tableColumn id="8" name="glicemia_jejum"/>
    <x:tableColumn id="9" name="imc"/>
    <x:tableColumn id="10" name="medicamentos"/>
    <x:tableColumn id="11" name="neoplasia_ativa"/>
    <x:tableColumn id="12" name="gestacao"/>
    <x:tableColumn id="13" name="data_atendimento"/>
    <x:tableColumn id="14" name="anotacao_medica"/>
    <x:tableColumn id="15" name="grupo_simulacao"/>
    <x:tableColumn id="16" name="marcador_caso"/>
    <x:tableColumn id="17" name="elegibilidade_calcul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2dd1c2fc7242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7a480c2ed354f3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7" hidden="0" customWidth="1"/>
    <x:col min="4" max="4" width="24" hidden="0" customWidth="1"/>
    <x:col min="5" max="5" width="30" hidden="0" customWidth="1"/>
    <x:col min="6" max="6" width="10" hidden="0" customWidth="1"/>
    <x:col min="7" max="7" width="11" hidden="0" customWidth="1"/>
    <x:col min="8" max="8" width="14" hidden="0" customWidth="1"/>
    <x:col min="9" max="9" width="9" hidden="0" customWidth="1"/>
    <x:col min="10" max="10" width="34" hidden="0" customWidth="1"/>
    <x:col min="11" max="11" width="14" hidden="0" customWidth="1"/>
    <x:col min="12" max="12" width="10" hidden="0" customWidth="1"/>
    <x:col min="13" max="13" width="14" hidden="0" customWidth="1"/>
    <x:col min="14" max="14" width="58" hidden="0" customWidth="1"/>
    <x:col min="15" max="15" width="16" hidden="0" customWidth="1"/>
    <x:col min="16" max="16" width="34" hidden="0" customWidth="1"/>
    <x:col min="17" max="17" width="20" hidden="0" customWidth="1"/>
  </x:cols>
  <x:sheetData>
    <x:row r="1" ht="30" customHeight="1">
      <x:c r="A1" s="14" t="str">
        <x:v>id_paciente</x:v>
      </x:c>
      <x:c r="B1" s="14" t="str">
        <x:v>idade</x:v>
      </x:c>
      <x:c r="C1" s="14" t="str">
        <x:v>sexo</x:v>
      </x:c>
      <x:c r="D1" s="14" t="str">
        <x:v>diagnostico</x:v>
      </x:c>
      <x:c r="E1" s="14" t="str">
        <x:v>diagnostico_secundario</x:v>
      </x:c>
      <x:c r="F1" s="14" t="str">
        <x:v>hba1c</x:v>
      </x:c>
      <x:c r="G1" s="14" t="str">
        <x:v>creatinina</x:v>
      </x:c>
      <x:c r="H1" s="14" t="str">
        <x:v>glicemia_jejum</x:v>
      </x:c>
      <x:c r="I1" s="14" t="str">
        <x:v>imc</x:v>
      </x:c>
      <x:c r="J1" s="14" t="str">
        <x:v>medicamentos</x:v>
      </x:c>
      <x:c r="K1" s="14" t="str">
        <x:v>neoplasia_ativa</x:v>
      </x:c>
      <x:c r="L1" s="14" t="str">
        <x:v>gestacao</x:v>
      </x:c>
      <x:c r="M1" s="14" t="str">
        <x:v>data_atendimento</x:v>
      </x:c>
      <x:c r="N1" s="14" t="str">
        <x:v>anotacao_medica</x:v>
      </x:c>
      <x:c r="O1" s="14" t="str">
        <x:v>grupo_simulacao</x:v>
      </x:c>
      <x:c r="P1" s="14" t="str">
        <x:v>marcador_caso</x:v>
      </x:c>
      <x:c r="Q1" s="14" t="str">
        <x:v>elegibilidade_calculada</x:v>
      </x:c>
    </x:row>
    <x:row r="2" ht="54" customHeight="1">
      <x:c r="A2" s="15" t="str">
        <x:v>PAC-001</x:v>
      </x:c>
      <x:c r="B2" s="15" t="n">
        <x:v>36</x:v>
      </x:c>
      <x:c r="C2" s="15" t="str">
        <x:v>M</x:v>
      </x:c>
      <x:c r="D2" s="15" t="str">
        <x:v>Diabetes tipo 2</x:v>
      </x:c>
      <x:c r="E2" s="15" t="str">
        <x:v>Sem comorbidades relevantes</x:v>
      </x:c>
      <x:c r="F2" s="18" t="n">
        <x:v>9.5</x:v>
      </x:c>
      <x:c r="G2" s="20" t="n">
        <x:v>0.87</x:v>
      </x:c>
      <x:c r="H2" s="15" t="n">
        <x:v>171</x:v>
      </x:c>
      <x:c r="I2" s="18" t="n">
        <x:v>32.6</x:v>
      </x:c>
      <x:c r="J2" s="15" t="str">
        <x:v>Metformina 1.000 mg 2x/dia</x:v>
      </x:c>
      <x:c r="K2" s="15" t="str">
        <x:v>Não</x:v>
      </x:c>
      <x:c r="L2" s="15" t="str">
        <x:v>Não</x:v>
      </x:c>
      <x:c r="M2" s="22" t="n">
        <x:v>46122</x:v>
      </x:c>
      <x:c r="N2" s="15" t="str">
        <x:v>Em consulta de rotina para controle metabólico. 36 anos, sexo M. Informa uso irregular da dieta, porém mantém as medicações. Exames recentes: HbA1c 9.5%, glicemia de jejum 171 mg/dL, creatinina 0.87 mg/dL. IMC 32.6 kg/m². Em uso de Metformina 1.000 mg 2x/dia. Nega hipoglicemias sintomáticas. Programado retorno com novos exames laboratoriais.</x:v>
      </x:c>
      <x:c r="O2" s="15" t="str">
        <x:v>Elegível</x:v>
      </x:c>
      <x:c r="P2" s="15" t="str">
        <x:v>Critérios claramente atendidos</x:v>
      </x:c>
      <x:c r="Q2" s="15" t="str">
        <x:f>IF(AND(B2&gt;=30,B2&lt;=70,F2&gt;=7,F2&lt;=10.5,G2&lt;=1.5,I2&gt;=25,I2&lt;=45,OR(ISNUMBER(SEARCH("diabetes",D2)),ISNUMBER(SEARCH("DM",D2))),ISNUMBER(SEARCH("metformina",J2)),K2="Não",L2="Não"),"Elegível","Não elegível")</x:f>
        <x:v>Elegível</x:v>
      </x:c>
    </x:row>
    <x:row r="3" ht="54" customHeight="1">
      <x:c r="A3" s="15" t="str">
        <x:v>PAC-002</x:v>
      </x:c>
      <x:c r="B3" s="15" t="n">
        <x:v>47</x:v>
      </x:c>
      <x:c r="C3" s="15" t="str">
        <x:v>F</x:v>
      </x:c>
      <x:c r="D3" s="15" t="str">
        <x:v>Diabetes mellitus tipo II</x:v>
      </x:c>
      <x:c r="E3" s="15" t="str">
        <x:v>Hipertensão arterial sistêmica; Dislipidemia</x:v>
      </x:c>
      <x:c r="F3" s="18" t="n">
        <x:v>8.3</x:v>
      </x:c>
      <x:c r="G3" s="20" t="n">
        <x:v>0.65</x:v>
      </x:c>
      <x:c r="H3" s="15" t="n">
        <x:v>178</x:v>
      </x:c>
      <x:c r="I3" s="18" t="n">
        <x:v>35.3</x:v>
      </x:c>
      <x:c r="J3" s="15" t="str">
        <x:v>Metformina XR 500 mg 2x/dia; Levotiroxina 75 mcg/dia</x:v>
      </x:c>
      <x:c r="K3" s="15" t="str">
        <x:v>Não</x:v>
      </x:c>
      <x:c r="L3" s="15" t="str">
        <x:v>Não</x:v>
      </x:c>
      <x:c r="M3" s="22" t="n">
        <x:v>46124</x:v>
      </x:c>
      <x:c r="N3" s="15" t="str">
        <x:v>Reavaliação clínica de paciente com diabetes tipo 2. 47 anos, sexo F. Refere uso regular das medicações. Exames recentes: HbA1c 8.3%, glicemia de jejum 178 mg/dL, creatinina 0.65 mg/dL. IMC 35.3 kg/m². Em uso de Metformina XR 500 mg 2x/dia; Levotiroxina 75 mcg/dia. Sem queixas agudas no momento. Programado retorno com novos exames laboratoriais.</x:v>
      </x:c>
      <x:c r="O3" s="15" t="str">
        <x:v>Elegível</x:v>
      </x:c>
      <x:c r="P3" s="15" t="str">
        <x:v>Critérios claramente atendidos</x:v>
      </x:c>
      <x:c r="Q3" s="15" t="str">
        <x:f>IF(AND(B3&gt;=30,B3&lt;=70,F3&gt;=7,F3&lt;=10.5,G3&lt;=1.5,I3&gt;=25,I3&lt;=45,OR(ISNUMBER(SEARCH("diabetes",D3)),ISNUMBER(SEARCH("DM",D3))),ISNUMBER(SEARCH("metformina",J3)),K3="Não",L3="Não"),"Elegível","Não elegível")</x:f>
        <x:v>Elegível</x:v>
      </x:c>
    </x:row>
    <x:row r="4" ht="54" customHeight="1">
      <x:c r="A4" s="15" t="str">
        <x:v>PAC-003</x:v>
      </x:c>
      <x:c r="B4" s="15" t="n">
        <x:v>35</x:v>
      </x:c>
      <x:c r="C4" s="15" t="str">
        <x:v>F</x:v>
      </x:c>
      <x:c r="D4" s="15" t="str">
        <x:v>Diabetes mellitus tipo II</x:v>
      </x:c>
      <x:c r="E4" s="15" t="str">
        <x:v>Doença do refluxo gastroesofágico</x:v>
      </x:c>
      <x:c r="F4" s="18" t="n">
        <x:v>9.3</x:v>
      </x:c>
      <x:c r="G4" s="20" t="n">
        <x:v>0.96</x:v>
      </x:c>
      <x:c r="H4" s="15" t="n">
        <x:v>194</x:v>
      </x:c>
      <x:c r="I4" s="18" t="n">
        <x:v>36.5</x:v>
      </x:c>
      <x:c r="J4" s="15" t="str">
        <x:v>Metformina 1.000 mg 2x/dia; Losartana 50 mg/dia; Atorvastatina 20 mg/noite</x:v>
      </x:c>
      <x:c r="K4" s="15" t="str">
        <x:v>Não</x:v>
      </x:c>
      <x:c r="L4" s="15" t="str">
        <x:v>Não</x:v>
      </x:c>
      <x:c r="M4" s="22" t="n">
        <x:v>46133</x:v>
      </x:c>
      <x:c r="N4" s="15" t="str">
        <x:v>Retorna para seguimento de diabetes mellitus tipo 2. 35 anos, sexo F. Informa uso irregular da dieta, porém mantém as medicações. Exames recentes: HbA1c 9.3%, glicemia de jejum 194 mg/dL, creatinina 0.96 mg/dL. IMC 36.5 kg/m². Em uso de Metformina 1.000 mg 2x/dia; Losartana 50 mg/dia; Atorvastatina 20 mg/noite. Sem queixas agudas no momento. Reforçadas orientações dietéticas e de atividade física.</x:v>
      </x:c>
      <x:c r="O4" s="15" t="str">
        <x:v>Elegível</x:v>
      </x:c>
      <x:c r="P4" s="15" t="str">
        <x:v>Critérios claramente atendidos</x:v>
      </x:c>
      <x:c r="Q4" s="15" t="str">
        <x:f>IF(AND(B4&gt;=30,B4&lt;=70,F4&gt;=7,F4&lt;=10.5,G4&lt;=1.5,I4&gt;=25,I4&lt;=45,OR(ISNUMBER(SEARCH("diabetes",D4)),ISNUMBER(SEARCH("DM",D4))),ISNUMBER(SEARCH("metformina",J4)),K4="Não",L4="Não"),"Elegível","Não elegível")</x:f>
        <x:v>Elegível</x:v>
      </x:c>
    </x:row>
    <x:row r="5" ht="54" customHeight="1">
      <x:c r="A5" s="15" t="str">
        <x:v>PAC-004</x:v>
      </x:c>
      <x:c r="B5" s="15" t="n">
        <x:v>43</x:v>
      </x:c>
      <x:c r="C5" s="15" t="str">
        <x:v>F</x:v>
      </x:c>
      <x:c r="D5" s="15" t="str">
        <x:v>DM tipo II</x:v>
      </x:c>
      <x:c r="E5" s="15" t="str">
        <x:v>Hipertensão arterial sistêmica; Dislipidemia</x:v>
      </x:c>
      <x:c r="F5" s="18" t="n">
        <x:v>9.9</x:v>
      </x:c>
      <x:c r="G5" s="20" t="n">
        <x:v>1.2</x:v>
      </x:c>
      <x:c r="H5" s="15" t="n">
        <x:v>172</x:v>
      </x:c>
      <x:c r="I5" s="18" t="n">
        <x:v>40.5</x:v>
      </x:c>
      <x:c r="J5" s="15" t="str">
        <x:v>Metformina 850 mg 2x/dia; Sinvastatina 20 mg à noite</x:v>
      </x:c>
      <x:c r="K5" s="15" t="str">
        <x:v>Não</x:v>
      </x:c>
      <x:c r="L5" s="15" t="str">
        <x:v>Não</x:v>
      </x:c>
      <x:c r="M5" s="22" t="n">
        <x:v>46217</x:v>
      </x:c>
      <x:c r="N5" s="15" t="str">
        <x:v>Paciente com diagnóstico prévio de DM2, em seguimento regular. 43 anos, sexo F. Nega interrupção recente das medicações. Exames recentes: HbA1c 9.9%, glicemia de jejum 172 mg/dL, creatinina 1.20 mg/dL. IMC 40.5 kg/m². Em uso de Metformina 850 mg 2x/dia; Sinvastatina 20 mg à noite. Sem sintomas sugestivos de descompensação aguda. Reforçadas orientações dietéticas e de atividade física.</x:v>
      </x:c>
      <x:c r="O5" s="15" t="str">
        <x:v>Elegível</x:v>
      </x:c>
      <x:c r="P5" s="15" t="str">
        <x:v>Critérios claramente atendidos</x:v>
      </x:c>
      <x:c r="Q5" s="15" t="str">
        <x:f>IF(AND(B5&gt;=30,B5&lt;=70,F5&gt;=7,F5&lt;=10.5,G5&lt;=1.5,I5&gt;=25,I5&lt;=45,OR(ISNUMBER(SEARCH("diabetes",D5)),ISNUMBER(SEARCH("DM",D5))),ISNUMBER(SEARCH("metformina",J5)),K5="Não",L5="Não"),"Elegível","Não elegível")</x:f>
        <x:v>Elegível</x:v>
      </x:c>
    </x:row>
    <x:row r="6" ht="54" customHeight="1">
      <x:c r="A6" s="15" t="str">
        <x:v>PAC-005</x:v>
      </x:c>
      <x:c r="B6" s="15" t="n">
        <x:v>43</x:v>
      </x:c>
      <x:c r="C6" s="15" t="str">
        <x:v>M</x:v>
      </x:c>
      <x:c r="D6" s="15" t="str">
        <x:v>DM2</x:v>
      </x:c>
      <x:c r="E6" s="15" t="str">
        <x:v>Obesidade; Hipertensão arterial sistêmica</x:v>
      </x:c>
      <x:c r="F6" s="18" t="n">
        <x:v>9.7</x:v>
      </x:c>
      <x:c r="G6" s="20" t="n">
        <x:v>1.1</x:v>
      </x:c>
      <x:c r="H6" s="15" t="n">
        <x:v>177</x:v>
      </x:c>
      <x:c r="I6" s="18" t="n">
        <x:v>36.7</x:v>
      </x:c>
      <x:c r="J6" s="15" t="str">
        <x:v>Metformina XR 500 mg 2x/dia; Sinvastatina 20 mg à noite</x:v>
      </x:c>
      <x:c r="K6" s="15" t="str">
        <x:v>Não</x:v>
      </x:c>
      <x:c r="L6" s="15" t="str">
        <x:v>Não</x:v>
      </x:c>
      <x:c r="M6" s="22" t="n">
        <x:v>46102</x:v>
      </x:c>
      <x:c r="N6" s="15" t="str">
        <x:v>Em consulta de rotina para controle metabólico. 43 anos, sexo M. Nega interrupção recente das medicações. Exames recentes: HbA1c 9.7%, glicemia de jejum 177 mg/dL, creatinina 1.10 mg/dL. IMC 36.7 kg/m². Em uso de Metformina XR 500 mg 2x/dia; Sinvastatina 20 mg à noite. Sem sintomas sugestivos de descompensação aguda. Mantida terapêutica atual até reavaliação.</x:v>
      </x:c>
      <x:c r="O6" s="15" t="str">
        <x:v>Elegível</x:v>
      </x:c>
      <x:c r="P6" s="15" t="str">
        <x:v>Critérios claramente atendidos</x:v>
      </x:c>
      <x:c r="Q6" s="15" t="str">
        <x:f>IF(AND(B6&gt;=30,B6&lt;=70,F6&gt;=7,F6&lt;=10.5,G6&lt;=1.5,I6&gt;=25,I6&lt;=45,OR(ISNUMBER(SEARCH("diabetes",D6)),ISNUMBER(SEARCH("DM",D6))),ISNUMBER(SEARCH("metformina",J6)),K6="Não",L6="Não"),"Elegível","Não elegível")</x:f>
        <x:v>Elegível</x:v>
      </x:c>
    </x:row>
    <x:row r="7" ht="54" customHeight="1">
      <x:c r="A7" s="15" t="str">
        <x:v>PAC-006</x:v>
      </x:c>
      <x:c r="B7" s="15" t="n">
        <x:v>54</x:v>
      </x:c>
      <x:c r="C7" s="15" t="str">
        <x:v>M</x:v>
      </x:c>
      <x:c r="D7" s="15" t="str">
        <x:v>DM tipo II</x:v>
      </x:c>
      <x:c r="E7" s="15" t="str">
        <x:v>Hipertensão arterial sistêmica</x:v>
      </x:c>
      <x:c r="F7" s="18" t="n">
        <x:v>7.5</x:v>
      </x:c>
      <x:c r="G7" s="20" t="n">
        <x:v>1.01</x:v>
      </x:c>
      <x:c r="H7" s="15" t="n">
        <x:v>173</x:v>
      </x:c>
      <x:c r="I7" s="18" t="n">
        <x:v>31.4</x:v>
      </x:c>
      <x:c r="J7" s="15" t="str">
        <x:v>Metformina 850 mg manhã e noite; Losartana 50 mg/dia; Atorvastatina 20 mg/noite</x:v>
      </x:c>
      <x:c r="K7" s="15" t="str">
        <x:v>Não</x:v>
      </x:c>
      <x:c r="L7" s="15" t="str">
        <x:v>Não</x:v>
      </x:c>
      <x:c r="M7" s="22" t="n">
        <x:v>46100</x:v>
      </x:c>
      <x:c r="N7" s="15" t="str">
        <x:v>Reavaliação clínica de paciente com diabetes tipo 2. 54 anos, sexo M. Relata boa adesão ao tratamento prescrito. Exames recentes: HbA1c 7.5%, glicemia de jejum 173 mg/dL, creatinina 1.01 mg/dL. IMC 31.4 kg/m². Em uso de Metformina 850 mg manhã e noite; Losartana 50 mg/dia; Atorvastatina 20 mg/noite. Nega hipoglicemias sintomáticas. Mantida terapêutica atual até reavaliação.</x:v>
      </x:c>
      <x:c r="O7" s="15" t="str">
        <x:v>Elegível</x:v>
      </x:c>
      <x:c r="P7" s="15" t="str">
        <x:v>Critérios claramente atendidos</x:v>
      </x:c>
      <x:c r="Q7" s="15" t="str">
        <x:f>IF(AND(B7&gt;=30,B7&lt;=70,F7&gt;=7,F7&lt;=10.5,G7&lt;=1.5,I7&gt;=25,I7&lt;=45,OR(ISNUMBER(SEARCH("diabetes",D7)),ISNUMBER(SEARCH("DM",D7))),ISNUMBER(SEARCH("metformina",J7)),K7="Não",L7="Não"),"Elegível","Não elegível")</x:f>
        <x:v>Elegível</x:v>
      </x:c>
    </x:row>
    <x:row r="8" ht="54" customHeight="1">
      <x:c r="A8" s="15" t="str">
        <x:v>PAC-007</x:v>
      </x:c>
      <x:c r="B8" s="15" t="n">
        <x:v>59</x:v>
      </x:c>
      <x:c r="C8" s="15" t="str">
        <x:v>M</x:v>
      </x:c>
      <x:c r="D8" s="15" t="str">
        <x:v>DM2</x:v>
      </x:c>
      <x:c r="E8" s="15" t="str">
        <x:v>Hipertensão arterial sistêmica; Dislipidemia</x:v>
      </x:c>
      <x:c r="F8" s="18" t="n">
        <x:v>7.7</x:v>
      </x:c>
      <x:c r="G8" s="20" t="n">
        <x:v>0.93</x:v>
      </x:c>
      <x:c r="H8" s="15" t="n">
        <x:v>175</x:v>
      </x:c>
      <x:c r="I8" s="18" t="n">
        <x:v>31</x:v>
      </x:c>
      <x:c r="J8" s="15" t="str">
        <x:v>Metformina XR 1.000 mg à noite; Levotiroxina 75 mcg/dia</x:v>
      </x:c>
      <x:c r="K8" s="15" t="str">
        <x:v>Não</x:v>
      </x:c>
      <x:c r="L8" s="15" t="str">
        <x:v>Não</x:v>
      </x:c>
      <x:c r="M8" s="22" t="n">
        <x:v>46241</x:v>
      </x:c>
      <x:c r="N8" s="15" t="str">
        <x:v>Paciente com diagnóstico prévio de DM2, em seguimento regular. 59 anos, sexo M. Refere adesão parcial às medidas não farmacológicas. Exames recentes: HbA1c 7.7%, glicemia de jejum 175 mg/dL, creatinina 0.93 mg/dL. IMC 31.0 kg/m². Em uso de Metformina XR 1.000 mg à noite; Levotiroxina 75 mcg/dia. Nega poliúria, polidipsia ou perda ponderal recente. Mantido acompanhamento e reforçadas medidas de estilo de vida.</x:v>
      </x:c>
      <x:c r="O8" s="15" t="str">
        <x:v>Elegível</x:v>
      </x:c>
      <x:c r="P8" s="15" t="str">
        <x:v>Critérios claramente atendidos</x:v>
      </x:c>
      <x:c r="Q8" s="15" t="str">
        <x:f>IF(AND(B8&gt;=30,B8&lt;=70,F8&gt;=7,F8&lt;=10.5,G8&lt;=1.5,I8&gt;=25,I8&lt;=45,OR(ISNUMBER(SEARCH("diabetes",D8)),ISNUMBER(SEARCH("DM",D8))),ISNUMBER(SEARCH("metformina",J8)),K8="Não",L8="Não"),"Elegível","Não elegível")</x:f>
        <x:v>Elegível</x:v>
      </x:c>
    </x:row>
    <x:row r="9" ht="54" customHeight="1">
      <x:c r="A9" s="15" t="str">
        <x:v>PAC-008</x:v>
      </x:c>
      <x:c r="B9" s="15" t="n">
        <x:v>40</x:v>
      </x:c>
      <x:c r="C9" s="15" t="str">
        <x:v>M</x:v>
      </x:c>
      <x:c r="D9" s="15" t="str">
        <x:v>DM tipo II</x:v>
      </x:c>
      <x:c r="E9" s="15" t="str">
        <x:v>Dislipidemia</x:v>
      </x:c>
      <x:c r="F9" s="18" t="n">
        <x:v>8</x:v>
      </x:c>
      <x:c r="G9" s="20" t="n">
        <x:v>0.98</x:v>
      </x:c>
      <x:c r="H9" s="15" t="n">
        <x:v>154</x:v>
      </x:c>
      <x:c r="I9" s="18" t="n">
        <x:v>39.1</x:v>
      </x:c>
      <x:c r="J9" s="15" t="str">
        <x:v>Metformina XR 500 mg 2x/dia; Amlodipino 5 mg/dia</x:v>
      </x:c>
      <x:c r="K9" s="15" t="str">
        <x:v>Não</x:v>
      </x:c>
      <x:c r="L9" s="15" t="str">
        <x:v>Não</x:v>
      </x:c>
      <x:c r="M9" s="22" t="n">
        <x:v>46141</x:v>
      </x:c>
      <x:c r="N9" s="15" t="str">
        <x:v>Paciente com diagnóstico prévio de DM2, em seguimento regular. 40 anos, sexo M. Informa uso irregular da dieta, porém mantém as medicações. Exames recentes: HbA1c 8.0%, glicemia de jejum 154 mg/dL, creatinina 0.98 mg/dL. IMC 39.1 kg/m². Em uso de Metformina XR 500 mg 2x/dia; Amlodipino 5 mg/dia. Clinicamente estável, sem intercorrências recentes. Orientada manutenção do seguimento e controle laboratorial.</x:v>
      </x:c>
      <x:c r="O9" s="15" t="str">
        <x:v>Elegível</x:v>
      </x:c>
      <x:c r="P9" s="15" t="str">
        <x:v>Critérios claramente atendidos</x:v>
      </x:c>
      <x:c r="Q9" s="15" t="str">
        <x:f>IF(AND(B9&gt;=30,B9&lt;=70,F9&gt;=7,F9&lt;=10.5,G9&lt;=1.5,I9&gt;=25,I9&lt;=45,OR(ISNUMBER(SEARCH("diabetes",D9)),ISNUMBER(SEARCH("DM",D9))),ISNUMBER(SEARCH("metformina",J9)),K9="Não",L9="Não"),"Elegível","Não elegível")</x:f>
        <x:v>Elegível</x:v>
      </x:c>
    </x:row>
    <x:row r="10" ht="54" customHeight="1">
      <x:c r="A10" s="15" t="str">
        <x:v>PAC-009</x:v>
      </x:c>
      <x:c r="B10" s="15" t="n">
        <x:v>64</x:v>
      </x:c>
      <x:c r="C10" s="15" t="str">
        <x:v>M</x:v>
      </x:c>
      <x:c r="D10" s="15" t="str">
        <x:v>DM tipo II</x:v>
      </x:c>
      <x:c r="E10" s="15" t="str">
        <x:v>Hipertensão arterial sistêmica</x:v>
      </x:c>
      <x:c r="F10" s="18" t="n">
        <x:v>7.8</x:v>
      </x:c>
      <x:c r="G10" s="20" t="n">
        <x:v>1.11</x:v>
      </x:c>
      <x:c r="H10" s="15" t="n">
        <x:v>177</x:v>
      </x:c>
      <x:c r="I10" s="18" t="n">
        <x:v>34.9</x:v>
      </x:c>
      <x:c r="J10" s="15" t="str">
        <x:v>Metformina XR 1.000 mg à noite; Levotiroxina 75 mcg/dia</x:v>
      </x:c>
      <x:c r="K10" s="15" t="str">
        <x:v>Não</x:v>
      </x:c>
      <x:c r="L10" s="15" t="str">
        <x:v>Não</x:v>
      </x:c>
      <x:c r="M10" s="22" t="n">
        <x:v>46119</x:v>
      </x:c>
      <x:c r="N10" s="15" t="str">
        <x:v>Paciente em acompanhamento ambulatorial por DM2. 64 anos, sexo M. Relata boa adesão ao tratamento prescrito. Exames recentes: HbA1c 7.8%, glicemia de jejum 177 mg/dL, creatinina 1.11 mg/dL. IMC 34.9 kg/m². Em uso de Metformina XR 1.000 mg à noite; Levotiroxina 75 mcg/dia. Sem queixas agudas no momento. Orientada manutenção do seguimento e controle laboratorial.</x:v>
      </x:c>
      <x:c r="O10" s="15" t="str">
        <x:v>Elegível</x:v>
      </x:c>
      <x:c r="P10" s="15" t="str">
        <x:v>Critérios claramente atendidos</x:v>
      </x:c>
      <x:c r="Q10" s="15" t="str">
        <x:f>IF(AND(B10&gt;=30,B10&lt;=70,F10&gt;=7,F10&lt;=10.5,G10&lt;=1.5,I10&gt;=25,I10&lt;=45,OR(ISNUMBER(SEARCH("diabetes",D10)),ISNUMBER(SEARCH("DM",D10))),ISNUMBER(SEARCH("metformina",J10)),K10="Não",L10="Não"),"Elegível","Não elegível")</x:f>
        <x:v>Elegível</x:v>
      </x:c>
    </x:row>
    <x:row r="11" ht="54" customHeight="1">
      <x:c r="A11" s="15" t="str">
        <x:v>PAC-010</x:v>
      </x:c>
      <x:c r="B11" s="15" t="n">
        <x:v>66</x:v>
      </x:c>
      <x:c r="C11" s="15" t="str">
        <x:v>M</x:v>
      </x:c>
      <x:c r="D11" s="15" t="str">
        <x:v>Diabetes tipo 2</x:v>
      </x:c>
      <x:c r="E11" s="15" t="str">
        <x:v>Esteatose hepática</x:v>
      </x:c>
      <x:c r="F11" s="18" t="n">
        <x:v>8</x:v>
      </x:c>
      <x:c r="G11" s="20" t="n">
        <x:v>0.83</x:v>
      </x:c>
      <x:c r="H11" s="15" t="n">
        <x:v>156</x:v>
      </x:c>
      <x:c r="I11" s="18" t="n">
        <x:v>37.7</x:v>
      </x:c>
      <x:c r="J11" s="15" t="str">
        <x:v>Metformina 1.000 mg 2x/dia</x:v>
      </x:c>
      <x:c r="K11" s="15" t="str">
        <x:v>Não</x:v>
      </x:c>
      <x:c r="L11" s="15" t="str">
        <x:v>Não</x:v>
      </x:c>
      <x:c r="M11" s="22" t="n">
        <x:v>46084</x:v>
      </x:c>
      <x:c r="N11" s="15" t="str">
        <x:v>Retorna para seguimento de diabetes mellitus tipo 2. 66 anos, sexo M. Relata boa adesão ao tratamento prescrito. Exames recentes: HbA1c 8.0%, glicemia de jejum 156 mg/dL, creatinina 0.83 mg/dL. IMC 37.7 kg/m². Em uso de Metformina 1.000 mg 2x/dia. Nega poliúria, polidipsia ou perda ponderal recente. Mantida terapêutica atual até reavaliação.</x:v>
      </x:c>
      <x:c r="O11" s="15" t="str">
        <x:v>Elegível</x:v>
      </x:c>
      <x:c r="P11" s="15" t="str">
        <x:v>Critérios claramente atendidos</x:v>
      </x:c>
      <x:c r="Q11" s="15" t="str">
        <x:f>IF(AND(B11&gt;=30,B11&lt;=70,F11&gt;=7,F11&lt;=10.5,G11&lt;=1.5,I11&gt;=25,I11&lt;=45,OR(ISNUMBER(SEARCH("diabetes",D11)),ISNUMBER(SEARCH("DM",D11))),ISNUMBER(SEARCH("metformina",J11)),K11="Não",L11="Não"),"Elegível","Não elegível")</x:f>
        <x:v>Elegível</x:v>
      </x:c>
    </x:row>
    <x:row r="12" ht="54" customHeight="1">
      <x:c r="A12" s="15" t="str">
        <x:v>PAC-011</x:v>
      </x:c>
      <x:c r="B12" s="15" t="n">
        <x:v>48</x:v>
      </x:c>
      <x:c r="C12" s="15" t="str">
        <x:v>M</x:v>
      </x:c>
      <x:c r="D12" s="15" t="str">
        <x:v>DM tipo II</x:v>
      </x:c>
      <x:c r="E12" s="15" t="str">
        <x:v>Hipotireoidismo</x:v>
      </x:c>
      <x:c r="F12" s="18" t="n">
        <x:v>9.8</x:v>
      </x:c>
      <x:c r="G12" s="20" t="n">
        <x:v>1.1</x:v>
      </x:c>
      <x:c r="H12" s="15" t="n">
        <x:v>202</x:v>
      </x:c>
      <x:c r="I12" s="18" t="n">
        <x:v>35.9</x:v>
      </x:c>
      <x:c r="J12" s="15" t="str">
        <x:v>Metformina 1.000 mg 2x/dia</x:v>
      </x:c>
      <x:c r="K12" s="15" t="str">
        <x:v>Não</x:v>
      </x:c>
      <x:c r="L12" s="15" t="str">
        <x:v>Não</x:v>
      </x:c>
      <x:c r="M12" s="22" t="n">
        <x:v>46142</x:v>
      </x:c>
      <x:c r="N12" s="15" t="str">
        <x:v>Paciente em acompanhamento ambulatorial por DM2. 48 anos, sexo M. Refere uso regular das medicações. Exames recentes: HbA1c 9.8%, glicemia de jejum 202 mg/dL, creatinina 1.10 mg/dL. IMC 35.9 kg/m². Em uso de Metformina 1.000 mg 2x/dia. Sem sintomas sugestivos de descompensação aguda. Programado retorno com novos exames laboratoriais.</x:v>
      </x:c>
      <x:c r="O12" s="15" t="str">
        <x:v>Elegível</x:v>
      </x:c>
      <x:c r="P12" s="15" t="str">
        <x:v>Critérios claramente atendidos</x:v>
      </x:c>
      <x:c r="Q12" s="15" t="str">
        <x:f>IF(AND(B12&gt;=30,B12&lt;=70,F12&gt;=7,F12&lt;=10.5,G12&lt;=1.5,I12&gt;=25,I12&lt;=45,OR(ISNUMBER(SEARCH("diabetes",D12)),ISNUMBER(SEARCH("DM",D12))),ISNUMBER(SEARCH("metformina",J12)),K12="Não",L12="Não"),"Elegível","Não elegível")</x:f>
        <x:v>Elegível</x:v>
      </x:c>
    </x:row>
    <x:row r="13" ht="54" customHeight="1">
      <x:c r="A13" s="15" t="str">
        <x:v>PAC-012</x:v>
      </x:c>
      <x:c r="B13" s="15" t="n">
        <x:v>54</x:v>
      </x:c>
      <x:c r="C13" s="15" t="str">
        <x:v>F</x:v>
      </x:c>
      <x:c r="D13" s="15" t="str">
        <x:v>Diabetes mellitus tipo II</x:v>
      </x:c>
      <x:c r="E13" s="15" t="str">
        <x:v>Sem comorbidades relevantes</x:v>
      </x:c>
      <x:c r="F13" s="18" t="n">
        <x:v>9.4</x:v>
      </x:c>
      <x:c r="G13" s="20" t="n">
        <x:v>1.13</x:v>
      </x:c>
      <x:c r="H13" s="15" t="n">
        <x:v>165</x:v>
      </x:c>
      <x:c r="I13" s="18" t="n">
        <x:v>30.4</x:v>
      </x:c>
      <x:c r="J13" s="15" t="str">
        <x:v>Metformina 500 mg 2x/dia</x:v>
      </x:c>
      <x:c r="K13" s="15" t="str">
        <x:v>Não</x:v>
      </x:c>
      <x:c r="L13" s="15" t="str">
        <x:v>Não</x:v>
      </x:c>
      <x:c r="M13" s="22" t="n">
        <x:v>46252</x:v>
      </x:c>
      <x:c r="N13" s="15" t="str">
        <x:v>Reavaliação clínica de paciente com diabetes tipo 2. 54 anos, sexo F. Refere adesão parcial às medidas não farmacológicas. Exames recentes: HbA1c 9.4%, glicemia de jejum 165 mg/dL, creatinina 1.13 mg/dL. IMC 30.4 kg/m². Em uso de Metformina 500 mg 2x/dia. Sem sintomas sugestivos de descompensação aguda. Mantida terapêutica atual até reavaliação.</x:v>
      </x:c>
      <x:c r="O13" s="15" t="str">
        <x:v>Elegível</x:v>
      </x:c>
      <x:c r="P13" s="15" t="str">
        <x:v>Critérios claramente atendidos</x:v>
      </x:c>
      <x:c r="Q13" s="15" t="str">
        <x:f>IF(AND(B13&gt;=30,B13&lt;=70,F13&gt;=7,F13&lt;=10.5,G13&lt;=1.5,I13&gt;=25,I13&lt;=45,OR(ISNUMBER(SEARCH("diabetes",D13)),ISNUMBER(SEARCH("DM",D13))),ISNUMBER(SEARCH("metformina",J13)),K13="Não",L13="Não"),"Elegível","Não elegível")</x:f>
        <x:v>Elegível</x:v>
      </x:c>
    </x:row>
    <x:row r="14" ht="54" customHeight="1">
      <x:c r="A14" s="15" t="str">
        <x:v>PAC-013</x:v>
      </x:c>
      <x:c r="B14" s="15" t="n">
        <x:v>38</x:v>
      </x:c>
      <x:c r="C14" s="15" t="str">
        <x:v>M</x:v>
      </x:c>
      <x:c r="D14" s="15" t="str">
        <x:v>Diabetes mellitus tipo 2</x:v>
      </x:c>
      <x:c r="E14" s="15" t="str">
        <x:v>Obesidade</x:v>
      </x:c>
      <x:c r="F14" s="18" t="n">
        <x:v>8.7</x:v>
      </x:c>
      <x:c r="G14" s="20" t="n">
        <x:v>0.74</x:v>
      </x:c>
      <x:c r="H14" s="15" t="n">
        <x:v>165</x:v>
      </x:c>
      <x:c r="I14" s="18" t="n">
        <x:v>28.7</x:v>
      </x:c>
      <x:c r="J14" s="15" t="str">
        <x:v>Metformina XR 1.000 mg à noite; Sinvastatina 20 mg à noite</x:v>
      </x:c>
      <x:c r="K14" s="15" t="str">
        <x:v>Não</x:v>
      </x:c>
      <x:c r="L14" s="15" t="str">
        <x:v>Não</x:v>
      </x:c>
      <x:c r="M14" s="22" t="n">
        <x:v>46119</x:v>
      </x:c>
      <x:c r="N14" s="15" t="str">
        <x:v>Paciente com diagnóstico prévio de DM2, em seguimento regular. 38 anos, sexo M. Relata boa adesão ao tratamento prescrito. Exames recentes: HbA1c 8.7%, glicemia de jejum 165 mg/dL, creatinina 0.74 mg/dL. IMC 28.7 kg/m². Em uso de Metformina XR 1.000 mg à noite; Sinvastatina 20 mg à noite. Nega hipoglicemias sintomáticas. Reforçadas orientações dietéticas e de atividade física.</x:v>
      </x:c>
      <x:c r="O14" s="15" t="str">
        <x:v>Elegível</x:v>
      </x:c>
      <x:c r="P14" s="15" t="str">
        <x:v>Critérios claramente atendidos</x:v>
      </x:c>
      <x:c r="Q14" s="15" t="str">
        <x:f>IF(AND(B14&gt;=30,B14&lt;=70,F14&gt;=7,F14&lt;=10.5,G14&lt;=1.5,I14&gt;=25,I14&lt;=45,OR(ISNUMBER(SEARCH("diabetes",D14)),ISNUMBER(SEARCH("DM",D14))),ISNUMBER(SEARCH("metformina",J14)),K14="Não",L14="Não"),"Elegível","Não elegível")</x:f>
        <x:v>Elegível</x:v>
      </x:c>
    </x:row>
    <x:row r="15" ht="54" customHeight="1">
      <x:c r="A15" s="15" t="str">
        <x:v>PAC-014</x:v>
      </x:c>
      <x:c r="B15" s="15" t="n">
        <x:v>59</x:v>
      </x:c>
      <x:c r="C15" s="15" t="str">
        <x:v>F</x:v>
      </x:c>
      <x:c r="D15" s="15" t="str">
        <x:v>Diabetes mellitus tipo II</x:v>
      </x:c>
      <x:c r="E15" s="15" t="str">
        <x:v>Hipertensão arterial sistêmica</x:v>
      </x:c>
      <x:c r="F15" s="18" t="n">
        <x:v>8.3</x:v>
      </x:c>
      <x:c r="G15" s="20" t="n">
        <x:v>0.71</x:v>
      </x:c>
      <x:c r="H15" s="15" t="n">
        <x:v>167</x:v>
      </x:c>
      <x:c r="I15" s="18" t="n">
        <x:v>39</x:v>
      </x:c>
      <x:c r="J15" s="15" t="str">
        <x:v>Metformina 1.000 mg 2x/dia; Atorvastatina 20 mg à noite</x:v>
      </x:c>
      <x:c r="K15" s="15" t="str">
        <x:v>Não</x:v>
      </x:c>
      <x:c r="L15" s="15" t="str">
        <x:v>Não</x:v>
      </x:c>
      <x:c r="M15" s="22" t="n">
        <x:v>46103</x:v>
      </x:c>
      <x:c r="N15" s="15" t="str">
        <x:v>Reavaliação clínica de paciente com diabetes tipo 2. 59 anos, sexo F. Nega interrupção recente das medicações. Exames recentes: HbA1c 8.3%, glicemia de jejum 167 mg/dL, creatinina 0.71 mg/dL. IMC 39.0 kg/m². Em uso de Metformina 1.000 mg 2x/dia; Atorvastatina 20 mg à noite. Sem sintomas sugestivos de descompensação aguda. Orientada manutenção do seguimento e controle laboratorial.</x:v>
      </x:c>
      <x:c r="O15" s="15" t="str">
        <x:v>Elegível</x:v>
      </x:c>
      <x:c r="P15" s="15" t="str">
        <x:v>Critérios claramente atendidos</x:v>
      </x:c>
      <x:c r="Q15" s="15" t="str">
        <x:f>IF(AND(B15&gt;=30,B15&lt;=70,F15&gt;=7,F15&lt;=10.5,G15&lt;=1.5,I15&gt;=25,I15&lt;=45,OR(ISNUMBER(SEARCH("diabetes",D15)),ISNUMBER(SEARCH("DM",D15))),ISNUMBER(SEARCH("metformina",J15)),K15="Não",L15="Não"),"Elegível","Não elegível")</x:f>
        <x:v>Elegível</x:v>
      </x:c>
    </x:row>
    <x:row r="16" ht="54" customHeight="1">
      <x:c r="A16" s="15" t="str">
        <x:v>PAC-015</x:v>
      </x:c>
      <x:c r="B16" s="15" t="n">
        <x:v>39</x:v>
      </x:c>
      <x:c r="C16" s="15" t="str">
        <x:v>F</x:v>
      </x:c>
      <x:c r="D16" s="15" t="str">
        <x:v>DM tipo II</x:v>
      </x:c>
      <x:c r="E16" s="15" t="str">
        <x:v>Esteatose hepática</x:v>
      </x:c>
      <x:c r="F16" s="18" t="n">
        <x:v>7.5</x:v>
      </x:c>
      <x:c r="G16" s="20" t="n">
        <x:v>1.26</x:v>
      </x:c>
      <x:c r="H16" s="15" t="n">
        <x:v>151</x:v>
      </x:c>
      <x:c r="I16" s="18" t="n">
        <x:v>32.5</x:v>
      </x:c>
      <x:c r="J16" s="15" t="str">
        <x:v>Metformina XR 1.000 mg à noite; Losartana 50 mg 2x/dia</x:v>
      </x:c>
      <x:c r="K16" s="15" t="str">
        <x:v>Não</x:v>
      </x:c>
      <x:c r="L16" s="15" t="str">
        <x:v>Não</x:v>
      </x:c>
      <x:c r="M16" s="22" t="n">
        <x:v>46228</x:v>
      </x:c>
      <x:c r="N16" s="15" t="str">
        <x:v>Retorna para seguimento de diabetes mellitus tipo 2. 39 anos, sexo F. Informa uso irregular da dieta, porém mantém as medicações. Exames recentes: HbA1c 7.5%, glicemia de jejum 151 mg/dL, creatinina 1.26 mg/dL. IMC 32.5 kg/m². Em uso de Metformina XR 1.000 mg à noite; Losartana 50 mg 2x/dia. Nega hipoglicemias sintomáticas. Orientada manutenção do seguimento e controle laboratorial.</x:v>
      </x:c>
      <x:c r="O16" s="15" t="str">
        <x:v>Elegível</x:v>
      </x:c>
      <x:c r="P16" s="15" t="str">
        <x:v>Critérios claramente atendidos</x:v>
      </x:c>
      <x:c r="Q16" s="15" t="str">
        <x:f>IF(AND(B16&gt;=30,B16&lt;=70,F16&gt;=7,F16&lt;=10.5,G16&lt;=1.5,I16&gt;=25,I16&lt;=45,OR(ISNUMBER(SEARCH("diabetes",D16)),ISNUMBER(SEARCH("DM",D16))),ISNUMBER(SEARCH("metformina",J16)),K16="Não",L16="Não"),"Elegível","Não elegível")</x:f>
        <x:v>Elegível</x:v>
      </x:c>
    </x:row>
    <x:row r="17" ht="54" customHeight="1">
      <x:c r="A17" s="15" t="str">
        <x:v>PAC-016</x:v>
      </x:c>
      <x:c r="B17" s="15" t="n">
        <x:v>59</x:v>
      </x:c>
      <x:c r="C17" s="15" t="str">
        <x:v>M</x:v>
      </x:c>
      <x:c r="D17" s="15" t="str">
        <x:v>Diabetes mellitus tipo 2</x:v>
      </x:c>
      <x:c r="E17" s="15" t="str">
        <x:v>Hipertensão arterial sistêmica; Dislipidemia</x:v>
      </x:c>
      <x:c r="F17" s="18" t="n">
        <x:v>9.4</x:v>
      </x:c>
      <x:c r="G17" s="20" t="n">
        <x:v>0.89</x:v>
      </x:c>
      <x:c r="H17" s="15" t="n">
        <x:v>198</x:v>
      </x:c>
      <x:c r="I17" s="18" t="n">
        <x:v>34.9</x:v>
      </x:c>
      <x:c r="J17" s="15" t="str">
        <x:v>Metformina 850 mg manhã e noite; Levotiroxina 75 mcg/dia</x:v>
      </x:c>
      <x:c r="K17" s="15" t="str">
        <x:v>Não</x:v>
      </x:c>
      <x:c r="L17" s="15" t="str">
        <x:v>Não</x:v>
      </x:c>
      <x:c r="M17" s="22" t="n">
        <x:v>46160</x:v>
      </x:c>
      <x:c r="N17" s="15" t="str">
        <x:v>Retorna para seguimento de diabetes mellitus tipo 2. 59 anos, sexo M. Relata boa adesão ao tratamento prescrito. Exames recentes: HbA1c 9.4%, glicemia de jejum 198 mg/dL, creatinina 0.89 mg/dL. IMC 34.9 kg/m². Em uso de Metformina 850 mg manhã e noite; Levotiroxina 75 mcg/dia. Nega poliúria, polidipsia ou perda ponderal recente. Programado retorno com novos exames laboratoriais.</x:v>
      </x:c>
      <x:c r="O17" s="15" t="str">
        <x:v>Elegível</x:v>
      </x:c>
      <x:c r="P17" s="15" t="str">
        <x:v>Critérios claramente atendidos</x:v>
      </x:c>
      <x:c r="Q17" s="15" t="str">
        <x:f>IF(AND(B17&gt;=30,B17&lt;=70,F17&gt;=7,F17&lt;=10.5,G17&lt;=1.5,I17&gt;=25,I17&lt;=45,OR(ISNUMBER(SEARCH("diabetes",D17)),ISNUMBER(SEARCH("DM",D17))),ISNUMBER(SEARCH("metformina",J17)),K17="Não",L17="Não"),"Elegível","Não elegível")</x:f>
        <x:v>Elegível</x:v>
      </x:c>
    </x:row>
    <x:row r="18" ht="54" customHeight="1">
      <x:c r="A18" s="15" t="str">
        <x:v>PAC-017</x:v>
      </x:c>
      <x:c r="B18" s="15" t="n">
        <x:v>66</x:v>
      </x:c>
      <x:c r="C18" s="15" t="str">
        <x:v>M</x:v>
      </x:c>
      <x:c r="D18" s="15" t="str">
        <x:v>Diabetes tipo 2</x:v>
      </x:c>
      <x:c r="E18" s="15" t="str">
        <x:v>Hipotireoidismo</x:v>
      </x:c>
      <x:c r="F18" s="18" t="n">
        <x:v>7.6</x:v>
      </x:c>
      <x:c r="G18" s="20" t="n">
        <x:v>1.14</x:v>
      </x:c>
      <x:c r="H18" s="15" t="n">
        <x:v>161</x:v>
      </x:c>
      <x:c r="I18" s="18" t="n">
        <x:v>31.7</x:v>
      </x:c>
      <x:c r="J18" s="15" t="str">
        <x:v>Metformina 500 mg 2x/dia; Losartana 50 mg 2x/dia</x:v>
      </x:c>
      <x:c r="K18" s="15" t="str">
        <x:v>Não</x:v>
      </x:c>
      <x:c r="L18" s="15" t="str">
        <x:v>Não</x:v>
      </x:c>
      <x:c r="M18" s="22" t="n">
        <x:v>46173</x:v>
      </x:c>
      <x:c r="N18" s="15" t="str">
        <x:v>Paciente em acompanhamento ambulatorial por DM2. 66 anos, sexo M. Nega interrupção recente das medicações. Exames recentes: HbA1c 7.6%, glicemia de jejum 161 mg/dL, creatinina 1.14 mg/dL. IMC 31.7 kg/m². Em uso de Metformina 500 mg 2x/dia; Losartana 50 mg 2x/dia. Nega poliúria, polidipsia ou perda ponderal recente. Mantida terapêutica atual até reavaliação.</x:v>
      </x:c>
      <x:c r="O18" s="15" t="str">
        <x:v>Elegível</x:v>
      </x:c>
      <x:c r="P18" s="15" t="str">
        <x:v>Critérios claramente atendidos</x:v>
      </x:c>
      <x:c r="Q18" s="15" t="str">
        <x:f>IF(AND(B18&gt;=30,B18&lt;=70,F18&gt;=7,F18&lt;=10.5,G18&lt;=1.5,I18&gt;=25,I18&lt;=45,OR(ISNUMBER(SEARCH("diabetes",D18)),ISNUMBER(SEARCH("DM",D18))),ISNUMBER(SEARCH("metformina",J18)),K18="Não",L18="Não"),"Elegível","Não elegível")</x:f>
        <x:v>Elegível</x:v>
      </x:c>
    </x:row>
    <x:row r="19" ht="54" customHeight="1">
      <x:c r="A19" s="15" t="str">
        <x:v>PAC-018</x:v>
      </x:c>
      <x:c r="B19" s="15" t="n">
        <x:v>39</x:v>
      </x:c>
      <x:c r="C19" s="15" t="str">
        <x:v>M</x:v>
      </x:c>
      <x:c r="D19" s="15" t="str">
        <x:v>Diabetes tipo 2</x:v>
      </x:c>
      <x:c r="E19" s="15" t="str">
        <x:v>Esteatose hepática</x:v>
      </x:c>
      <x:c r="F19" s="18" t="n">
        <x:v>9.6</x:v>
      </x:c>
      <x:c r="G19" s="20" t="n">
        <x:v>0.72</x:v>
      </x:c>
      <x:c r="H19" s="15" t="n">
        <x:v>191</x:v>
      </x:c>
      <x:c r="I19" s="18" t="n">
        <x:v>34</x:v>
      </x:c>
      <x:c r="J19" s="15" t="str">
        <x:v>Metformina 1.000 mg 2x/dia</x:v>
      </x:c>
      <x:c r="K19" s="15" t="str">
        <x:v>Não</x:v>
      </x:c>
      <x:c r="L19" s="15" t="str">
        <x:v>Não</x:v>
      </x:c>
      <x:c r="M19" s="22" t="n">
        <x:v>46165</x:v>
      </x:c>
      <x:c r="N19" s="15" t="str">
        <x:v>Reavaliação clínica de paciente com diabetes tipo 2. 39 anos, sexo M. Nega interrupção recente das medicações. Exames recentes: HbA1c 9.6%, glicemia de jejum 191 mg/dL, creatinina 0.72 mg/dL. IMC 34.0 kg/m². Em uso de Metformina 1.000 mg 2x/dia. Nega hipoglicemias sintomáticas. Mantida terapêutica atual até reavaliação.</x:v>
      </x:c>
      <x:c r="O19" s="15" t="str">
        <x:v>Elegível</x:v>
      </x:c>
      <x:c r="P19" s="15" t="str">
        <x:v>Critérios claramente atendidos</x:v>
      </x:c>
      <x:c r="Q19" s="15" t="str">
        <x:f>IF(AND(B19&gt;=30,B19&lt;=70,F19&gt;=7,F19&lt;=10.5,G19&lt;=1.5,I19&gt;=25,I19&lt;=45,OR(ISNUMBER(SEARCH("diabetes",D19)),ISNUMBER(SEARCH("DM",D19))),ISNUMBER(SEARCH("metformina",J19)),K19="Não",L19="Não"),"Elegível","Não elegível")</x:f>
        <x:v>Elegível</x:v>
      </x:c>
    </x:row>
    <x:row r="20" ht="54" customHeight="1">
      <x:c r="A20" s="15" t="str">
        <x:v>PAC-019</x:v>
      </x:c>
      <x:c r="B20" s="15" t="n">
        <x:v>47</x:v>
      </x:c>
      <x:c r="C20" s="15" t="str">
        <x:v>M</x:v>
      </x:c>
      <x:c r="D20" s="15" t="str">
        <x:v>DM tipo II</x:v>
      </x:c>
      <x:c r="E20" s="15" t="str">
        <x:v>Esteatose hepática</x:v>
      </x:c>
      <x:c r="F20" s="18" t="n">
        <x:v>10.1</x:v>
      </x:c>
      <x:c r="G20" s="20" t="n">
        <x:v>0.75</x:v>
      </x:c>
      <x:c r="H20" s="15" t="n">
        <x:v>204</x:v>
      </x:c>
      <x:c r="I20" s="18" t="n">
        <x:v>38.4</x:v>
      </x:c>
      <x:c r="J20" s="15" t="str">
        <x:v>Metformina 500 mg 2x/dia; Amlodipino 5 mg/dia</x:v>
      </x:c>
      <x:c r="K20" s="15" t="str">
        <x:v>Não</x:v>
      </x:c>
      <x:c r="L20" s="15" t="str">
        <x:v>Não</x:v>
      </x:c>
      <x:c r="M20" s="22" t="n">
        <x:v>46156</x:v>
      </x:c>
      <x:c r="N20" s="15" t="str">
        <x:v>Paciente em acompanhamento ambulatorial por DM2. 47 anos, sexo M. Refere adesão parcial às medidas não farmacológicas. Exames recentes: HbA1c 10.1%, glicemia de jejum 204 mg/dL, creatinina 0.75 mg/dL. IMC 38.4 kg/m². Em uso de Metformina 500 mg 2x/dia; Amlodipino 5 mg/dia. Sem queixas agudas no momento. Programado retorno com novos exames laboratoriais.</x:v>
      </x:c>
      <x:c r="O20" s="15" t="str">
        <x:v>Elegível</x:v>
      </x:c>
      <x:c r="P20" s="15" t="str">
        <x:v>Critérios claramente atendidos</x:v>
      </x:c>
      <x:c r="Q20" s="15" t="str">
        <x:f>IF(AND(B20&gt;=30,B20&lt;=70,F20&gt;=7,F20&lt;=10.5,G20&lt;=1.5,I20&gt;=25,I20&lt;=45,OR(ISNUMBER(SEARCH("diabetes",D20)),ISNUMBER(SEARCH("DM",D20))),ISNUMBER(SEARCH("metformina",J20)),K20="Não",L20="Não"),"Elegível","Não elegível")</x:f>
        <x:v>Elegível</x:v>
      </x:c>
    </x:row>
    <x:row r="21" ht="54" customHeight="1">
      <x:c r="A21" s="15" t="str">
        <x:v>PAC-020</x:v>
      </x:c>
      <x:c r="B21" s="15" t="n">
        <x:v>39</x:v>
      </x:c>
      <x:c r="C21" s="15" t="str">
        <x:v>M</x:v>
      </x:c>
      <x:c r="D21" s="15" t="str">
        <x:v>DM2</x:v>
      </x:c>
      <x:c r="E21" s="15" t="str">
        <x:v>Hipertensão arterial sistêmica</x:v>
      </x:c>
      <x:c r="F21" s="18" t="n">
        <x:v>8.9</x:v>
      </x:c>
      <x:c r="G21" s="20" t="n">
        <x:v>0.66</x:v>
      </x:c>
      <x:c r="H21" s="15" t="n">
        <x:v>171</x:v>
      </x:c>
      <x:c r="I21" s="18" t="n">
        <x:v>37.6</x:v>
      </x:c>
      <x:c r="J21" s="15" t="str">
        <x:v>Metformina XR 500 mg 2x/dia</x:v>
      </x:c>
      <x:c r="K21" s="15" t="str">
        <x:v>Não</x:v>
      </x:c>
      <x:c r="L21" s="15" t="str">
        <x:v>Não</x:v>
      </x:c>
      <x:c r="M21" s="22" t="n">
        <x:v>46081</x:v>
      </x:c>
      <x:c r="N21" s="15" t="str">
        <x:v>Reavaliação clínica de paciente com diabetes tipo 2. 39 anos, sexo M. Nega interrupção recente das medicações. Exames recentes: HbA1c 8.9%, glicemia de jejum 171 mg/dL, creatinina 0.66 mg/dL. IMC 37.6 kg/m². Em uso de Metformina XR 500 mg 2x/dia. Nega hipoglicemias sintomáticas. Mantido acompanhamento e reforçadas medidas de estilo de vida.</x:v>
      </x:c>
      <x:c r="O21" s="15" t="str">
        <x:v>Elegível</x:v>
      </x:c>
      <x:c r="P21" s="15" t="str">
        <x:v>Critérios claramente atendidos</x:v>
      </x:c>
      <x:c r="Q21" s="15" t="str">
        <x:f>IF(AND(B21&gt;=30,B21&lt;=70,F21&gt;=7,F21&lt;=10.5,G21&lt;=1.5,I21&gt;=25,I21&lt;=45,OR(ISNUMBER(SEARCH("diabetes",D21)),ISNUMBER(SEARCH("DM",D21))),ISNUMBER(SEARCH("metformina",J21)),K21="Não",L21="Não"),"Elegível","Não elegível")</x:f>
        <x:v>Elegível</x:v>
      </x:c>
    </x:row>
    <x:row r="22" ht="54" customHeight="1">
      <x:c r="A22" s="15" t="str">
        <x:v>PAC-021</x:v>
      </x:c>
      <x:c r="B22" s="15" t="n">
        <x:v>62</x:v>
      </x:c>
      <x:c r="C22" s="15" t="str">
        <x:v>F</x:v>
      </x:c>
      <x:c r="D22" s="15" t="str">
        <x:v>Diabetes mellitus tipo 2</x:v>
      </x:c>
      <x:c r="E22" s="15" t="str">
        <x:v>Hipertensão arterial sistêmica; Dislipidemia</x:v>
      </x:c>
      <x:c r="F22" s="18" t="n">
        <x:v>7.5</x:v>
      </x:c>
      <x:c r="G22" s="20" t="n">
        <x:v>0.83</x:v>
      </x:c>
      <x:c r="H22" s="15" t="n">
        <x:v>167</x:v>
      </x:c>
      <x:c r="I22" s="18" t="n">
        <x:v>34</x:v>
      </x:c>
      <x:c r="J22" s="15" t="str">
        <x:v>Metformina XR 1.000 mg à noite; Atorvastatina 20 mg à noite</x:v>
      </x:c>
      <x:c r="K22" s="15" t="str">
        <x:v>Não</x:v>
      </x:c>
      <x:c r="L22" s="15" t="str">
        <x:v>Não</x:v>
      </x:c>
      <x:c r="M22" s="22" t="n">
        <x:v>46152</x:v>
      </x:c>
      <x:c r="N22" s="15" t="str">
        <x:v>Em consulta de rotina para controle metabólico. 62 anos, sexo F. Informa uso irregular da dieta, porém mantém as medicações. Exames recentes: HbA1c 7.5%, glicemia de jejum 167 mg/dL, creatinina 0.83 mg/dL. IMC 34.0 kg/m². Em uso de Metformina XR 1.000 mg à noite; Atorvastatina 20 mg à noite. Nega poliúria, polidipsia ou perda ponderal recente. Reforçadas orientações dietéticas e de atividade física.</x:v>
      </x:c>
      <x:c r="O22" s="15" t="str">
        <x:v>Elegível</x:v>
      </x:c>
      <x:c r="P22" s="15" t="str">
        <x:v>Critérios claramente atendidos</x:v>
      </x:c>
      <x:c r="Q22" s="15" t="str">
        <x:f>IF(AND(B22&gt;=30,B22&lt;=70,F22&gt;=7,F22&lt;=10.5,G22&lt;=1.5,I22&gt;=25,I22&lt;=45,OR(ISNUMBER(SEARCH("diabetes",D22)),ISNUMBER(SEARCH("DM",D22))),ISNUMBER(SEARCH("metformina",J22)),K22="Não",L22="Não"),"Elegível","Não elegível")</x:f>
        <x:v>Elegível</x:v>
      </x:c>
    </x:row>
    <x:row r="23" ht="54" customHeight="1">
      <x:c r="A23" s="15" t="str">
        <x:v>PAC-022</x:v>
      </x:c>
      <x:c r="B23" s="15" t="n">
        <x:v>63</x:v>
      </x:c>
      <x:c r="C23" s="15" t="str">
        <x:v>F</x:v>
      </x:c>
      <x:c r="D23" s="15" t="str">
        <x:v>DM tipo II</x:v>
      </x:c>
      <x:c r="E23" s="15" t="str">
        <x:v>Hipertensão arterial sistêmica; Dislipidemia</x:v>
      </x:c>
      <x:c r="F23" s="18" t="n">
        <x:v>7.9</x:v>
      </x:c>
      <x:c r="G23" s="20" t="n">
        <x:v>0.78</x:v>
      </x:c>
      <x:c r="H23" s="15" t="n">
        <x:v>176</x:v>
      </x:c>
      <x:c r="I23" s="18" t="n">
        <x:v>34.8</x:v>
      </x:c>
      <x:c r="J23" s="15" t="str">
        <x:v>Metformina 850 mg 2x/dia; Losartana 50 mg/dia; Atorvastatina 20 mg/noite</x:v>
      </x:c>
      <x:c r="K23" s="15" t="str">
        <x:v>Não</x:v>
      </x:c>
      <x:c r="L23" s="15" t="str">
        <x:v>Não</x:v>
      </x:c>
      <x:c r="M23" s="22" t="n">
        <x:v>46076</x:v>
      </x:c>
      <x:c r="N23" s="15" t="str">
        <x:v>Retorna para seguimento de diabetes mellitus tipo 2. 63 anos, sexo F. Nega interrupção recente das medicações. Exames recentes: HbA1c 7.9%, glicemia de jejum 176 mg/dL, creatinina 0.78 mg/dL. IMC 34.8 kg/m². Em uso de Metformina 850 mg 2x/dia; Losartana 50 mg/dia; Atorvastatina 20 mg/noite. Clinicamente estável, sem intercorrências recentes. Mantida terapêutica atual até reavaliação.</x:v>
      </x:c>
      <x:c r="O23" s="15" t="str">
        <x:v>Elegível</x:v>
      </x:c>
      <x:c r="P23" s="15" t="str">
        <x:v>Critérios claramente atendidos</x:v>
      </x:c>
      <x:c r="Q23" s="15" t="str">
        <x:f>IF(AND(B23&gt;=30,B23&lt;=70,F23&gt;=7,F23&lt;=10.5,G23&lt;=1.5,I23&gt;=25,I23&lt;=45,OR(ISNUMBER(SEARCH("diabetes",D23)),ISNUMBER(SEARCH("DM",D23))),ISNUMBER(SEARCH("metformina",J23)),K23="Não",L23="Não"),"Elegível","Não elegível")</x:f>
        <x:v>Elegível</x:v>
      </x:c>
    </x:row>
    <x:row r="24" ht="54" customHeight="1">
      <x:c r="A24" s="15" t="str">
        <x:v>PAC-023</x:v>
      </x:c>
      <x:c r="B24" s="15" t="n">
        <x:v>62</x:v>
      </x:c>
      <x:c r="C24" s="15" t="str">
        <x:v>M</x:v>
      </x:c>
      <x:c r="D24" s="15" t="str">
        <x:v>Diabetes mellitus tipo 2</x:v>
      </x:c>
      <x:c r="E24" s="15" t="str">
        <x:v>Doença do refluxo gastroesofágico</x:v>
      </x:c>
      <x:c r="F24" s="18" t="n">
        <x:v>7.4</x:v>
      </x:c>
      <x:c r="G24" s="20" t="n">
        <x:v>1.08</x:v>
      </x:c>
      <x:c r="H24" s="15" t="n">
        <x:v>170</x:v>
      </x:c>
      <x:c r="I24" s="18" t="n">
        <x:v>33.2</x:v>
      </x:c>
      <x:c r="J24" s="15" t="str">
        <x:v>Metformina 850 mg manhã e noite; Sinvastatina 20 mg à noite</x:v>
      </x:c>
      <x:c r="K24" s="15" t="str">
        <x:v>Não</x:v>
      </x:c>
      <x:c r="L24" s="15" t="str">
        <x:v>Não</x:v>
      </x:c>
      <x:c r="M24" s="22" t="n">
        <x:v>46090</x:v>
      </x:c>
      <x:c r="N24" s="15" t="str">
        <x:v>Paciente com diagnóstico prévio de DM2, em seguimento regular. 62 anos, sexo M. Relata boa adesão ao tratamento prescrito. Exames recentes: HbA1c 7.4%, glicemia de jejum 170 mg/dL, creatinina 1.08 mg/dL. IMC 33.2 kg/m². Em uso de Metformina 850 mg manhã e noite; Sinvastatina 20 mg à noite. Nega poliúria, polidipsia ou perda ponderal recente. Programado retorno com novos exames laboratoriais.</x:v>
      </x:c>
      <x:c r="O24" s="15" t="str">
        <x:v>Elegível</x:v>
      </x:c>
      <x:c r="P24" s="15" t="str">
        <x:v>Critérios claramente atendidos</x:v>
      </x:c>
      <x:c r="Q24" s="15" t="str">
        <x:f>IF(AND(B24&gt;=30,B24&lt;=70,F24&gt;=7,F24&lt;=10.5,G24&lt;=1.5,I24&gt;=25,I24&lt;=45,OR(ISNUMBER(SEARCH("diabetes",D24)),ISNUMBER(SEARCH("DM",D24))),ISNUMBER(SEARCH("metformina",J24)),K24="Não",L24="Não"),"Elegível","Não elegível")</x:f>
        <x:v>Elegível</x:v>
      </x:c>
    </x:row>
    <x:row r="25" ht="54" customHeight="1">
      <x:c r="A25" s="15" t="str">
        <x:v>PAC-024</x:v>
      </x:c>
      <x:c r="B25" s="15" t="n">
        <x:v>42</x:v>
      </x:c>
      <x:c r="C25" s="15" t="str">
        <x:v>F</x:v>
      </x:c>
      <x:c r="D25" s="15" t="str">
        <x:v>Diabetes mellitus tipo 2</x:v>
      </x:c>
      <x:c r="E25" s="15" t="str">
        <x:v>Obesidade; Hipertensão arterial sistêmica</x:v>
      </x:c>
      <x:c r="F25" s="18" t="n">
        <x:v>8.4</x:v>
      </x:c>
      <x:c r="G25" s="20" t="n">
        <x:v>0.84</x:v>
      </x:c>
      <x:c r="H25" s="15" t="n">
        <x:v>170</x:v>
      </x:c>
      <x:c r="I25" s="18" t="n">
        <x:v>35</x:v>
      </x:c>
      <x:c r="J25" s="15" t="str">
        <x:v>Metformina 850 mg 2x/dia; Levotiroxina 75 mcg/dia</x:v>
      </x:c>
      <x:c r="K25" s="15" t="str">
        <x:v>Não</x:v>
      </x:c>
      <x:c r="L25" s="15" t="str">
        <x:v>Não</x:v>
      </x:c>
      <x:c r="M25" s="22" t="n">
        <x:v>46215</x:v>
      </x:c>
      <x:c r="N25" s="15" t="str">
        <x:v>Em consulta de rotina para controle metabólico. 42 anos, sexo F. Nega interrupção recente das medicações. Exames recentes: HbA1c 8.4%, glicemia de jejum 170 mg/dL, creatinina 0.84 mg/dL. IMC 35.0 kg/m². Em uso de Metformina 850 mg 2x/dia; Levotiroxina 75 mcg/dia. Sem queixas agudas no momento. Mantida terapêutica atual até reavaliação.</x:v>
      </x:c>
      <x:c r="O25" s="15" t="str">
        <x:v>Elegível</x:v>
      </x:c>
      <x:c r="P25" s="15" t="str">
        <x:v>Critérios claramente atendidos</x:v>
      </x:c>
      <x:c r="Q25" s="15" t="str">
        <x:f>IF(AND(B25&gt;=30,B25&lt;=70,F25&gt;=7,F25&lt;=10.5,G25&lt;=1.5,I25&gt;=25,I25&lt;=45,OR(ISNUMBER(SEARCH("diabetes",D25)),ISNUMBER(SEARCH("DM",D25))),ISNUMBER(SEARCH("metformina",J25)),K25="Não",L25="Não"),"Elegível","Não elegível")</x:f>
        <x:v>Elegível</x:v>
      </x:c>
    </x:row>
    <x:row r="26" ht="54" customHeight="1">
      <x:c r="A26" s="15" t="str">
        <x:v>PAC-025</x:v>
      </x:c>
      <x:c r="B26" s="15" t="n">
        <x:v>66</x:v>
      </x:c>
      <x:c r="C26" s="15" t="str">
        <x:v>M</x:v>
      </x:c>
      <x:c r="D26" s="15" t="str">
        <x:v>Diabetes tipo 2</x:v>
      </x:c>
      <x:c r="E26" s="15" t="str">
        <x:v>Hipotireoidismo</x:v>
      </x:c>
      <x:c r="F26" s="18" t="n">
        <x:v>7.9</x:v>
      </x:c>
      <x:c r="G26" s="20" t="n">
        <x:v>1.11</x:v>
      </x:c>
      <x:c r="H26" s="15" t="n">
        <x:v>175</x:v>
      </x:c>
      <x:c r="I26" s="18" t="n">
        <x:v>38.9</x:v>
      </x:c>
      <x:c r="J26" s="15" t="str">
        <x:v>Metformina 500 mg 2x/dia; Sinvastatina 20 mg à noite</x:v>
      </x:c>
      <x:c r="K26" s="15" t="str">
        <x:v>Não</x:v>
      </x:c>
      <x:c r="L26" s="15" t="str">
        <x:v>Não</x:v>
      </x:c>
      <x:c r="M26" s="22" t="n">
        <x:v>46104</x:v>
      </x:c>
      <x:c r="N26" s="15" t="str">
        <x:v>Em consulta de rotina para controle metabólico. 66 anos, sexo M. Refere uso regular das medicações. Exames recentes: HbA1c 7.9%, glicemia de jejum 175 mg/dL, creatinina 1.11 mg/dL. IMC 38.9 kg/m². Em uso de Metformina 500 mg 2x/dia; Sinvastatina 20 mg à noite. Nega poliúria, polidipsia ou perda ponderal recente. Reforçadas orientações dietéticas e de atividade física.</x:v>
      </x:c>
      <x:c r="O26" s="15" t="str">
        <x:v>Elegível</x:v>
      </x:c>
      <x:c r="P26" s="15" t="str">
        <x:v>Critérios claramente atendidos</x:v>
      </x:c>
      <x:c r="Q26" s="15" t="str">
        <x:f>IF(AND(B26&gt;=30,B26&lt;=70,F26&gt;=7,F26&lt;=10.5,G26&lt;=1.5,I26&gt;=25,I26&lt;=45,OR(ISNUMBER(SEARCH("diabetes",D26)),ISNUMBER(SEARCH("DM",D26))),ISNUMBER(SEARCH("metformina",J26)),K26="Não",L26="Não"),"Elegível","Não elegível")</x:f>
        <x:v>Elegível</x:v>
      </x:c>
    </x:row>
    <x:row r="27" ht="54" customHeight="1">
      <x:c r="A27" s="15" t="str">
        <x:v>PAC-026</x:v>
      </x:c>
      <x:c r="B27" s="15" t="n">
        <x:v>58</x:v>
      </x:c>
      <x:c r="C27" s="15" t="str">
        <x:v>F</x:v>
      </x:c>
      <x:c r="D27" s="15" t="str">
        <x:v>Diabetes mellitus tipo II</x:v>
      </x:c>
      <x:c r="E27" s="15" t="str">
        <x:v>Hipertensão arterial sistêmica</x:v>
      </x:c>
      <x:c r="F27" s="18" t="n">
        <x:v>9.7</x:v>
      </x:c>
      <x:c r="G27" s="20" t="n">
        <x:v>1.11</x:v>
      </x:c>
      <x:c r="H27" s="15" t="n">
        <x:v>199</x:v>
      </x:c>
      <x:c r="I27" s="18" t="n">
        <x:v>37.6</x:v>
      </x:c>
      <x:c r="J27" s="15" t="str">
        <x:v>Metformina 1.000 mg 2x/dia; Losartana 50 mg/dia; Atorvastatina 20 mg/noite</x:v>
      </x:c>
      <x:c r="K27" s="15" t="str">
        <x:v>Não</x:v>
      </x:c>
      <x:c r="L27" s="15" t="str">
        <x:v>Não</x:v>
      </x:c>
      <x:c r="M27" s="22" t="n">
        <x:v>46218</x:v>
      </x:c>
      <x:c r="N27" s="15" t="str">
        <x:v>Paciente em acompanhamento ambulatorial por DM2. 58 anos, sexo F. Refere adesão parcial às medidas não farmacológicas. Exames recentes: HbA1c 9.7%, glicemia de jejum 199 mg/dL, creatinina 1.11 mg/dL. IMC 37.6 kg/m². Em uso de Metformina 1.000 mg 2x/dia; Losartana 50 mg/dia; Atorvastatina 20 mg/noite. Sem queixas agudas no momento. Orientada manutenção do seguimento e controle laboratorial.</x:v>
      </x:c>
      <x:c r="O27" s="15" t="str">
        <x:v>Elegível</x:v>
      </x:c>
      <x:c r="P27" s="15" t="str">
        <x:v>Critérios claramente atendidos</x:v>
      </x:c>
      <x:c r="Q27" s="15" t="str">
        <x:f>IF(AND(B27&gt;=30,B27&lt;=70,F27&gt;=7,F27&lt;=10.5,G27&lt;=1.5,I27&gt;=25,I27&lt;=45,OR(ISNUMBER(SEARCH("diabetes",D27)),ISNUMBER(SEARCH("DM",D27))),ISNUMBER(SEARCH("metformina",J27)),K27="Não",L27="Não"),"Elegível","Não elegível")</x:f>
        <x:v>Elegível</x:v>
      </x:c>
    </x:row>
    <x:row r="28" ht="54" customHeight="1">
      <x:c r="A28" s="15" t="str">
        <x:v>PAC-027</x:v>
      </x:c>
      <x:c r="B28" s="15" t="n">
        <x:v>56</x:v>
      </x:c>
      <x:c r="C28" s="15" t="str">
        <x:v>F</x:v>
      </x:c>
      <x:c r="D28" s="15" t="str">
        <x:v>Diabetes mellitus tipo 2</x:v>
      </x:c>
      <x:c r="E28" s="15" t="str">
        <x:v>Hipertensão arterial sistêmica</x:v>
      </x:c>
      <x:c r="F28" s="18" t="n">
        <x:v>8.9</x:v>
      </x:c>
      <x:c r="G28" s="20" t="n">
        <x:v>1.29</x:v>
      </x:c>
      <x:c r="H28" s="15" t="n">
        <x:v>188</x:v>
      </x:c>
      <x:c r="I28" s="18" t="n">
        <x:v>32.1</x:v>
      </x:c>
      <x:c r="J28" s="15" t="str">
        <x:v>Metformina 850 mg manhã e noite; Sinvastatina 20 mg à noite</x:v>
      </x:c>
      <x:c r="K28" s="15" t="str">
        <x:v>Não</x:v>
      </x:c>
      <x:c r="L28" s="15" t="str">
        <x:v>Não</x:v>
      </x:c>
      <x:c r="M28" s="22" t="n">
        <x:v>46117</x:v>
      </x:c>
      <x:c r="N28" s="15" t="str">
        <x:v>Paciente com diagnóstico prévio de DM2, em seguimento regular. 56 anos, sexo F. Nega interrupção recente das medicações. Exames recentes: HbA1c 8.9%, glicemia de jejum 188 mg/dL, creatinina 1.29 mg/dL. IMC 32.1 kg/m². Em uso de Metformina 850 mg manhã e noite; Sinvastatina 20 mg à noite. Sem sintomas sugestivos de descompensação aguda. Reforçadas orientações dietéticas e de atividade física.</x:v>
      </x:c>
      <x:c r="O28" s="15" t="str">
        <x:v>Elegível</x:v>
      </x:c>
      <x:c r="P28" s="15" t="str">
        <x:v>Critérios claramente atendidos</x:v>
      </x:c>
      <x:c r="Q28" s="15" t="str">
        <x:f>IF(AND(B28&gt;=30,B28&lt;=70,F28&gt;=7,F28&lt;=10.5,G28&lt;=1.5,I28&gt;=25,I28&lt;=45,OR(ISNUMBER(SEARCH("diabetes",D28)),ISNUMBER(SEARCH("DM",D28))),ISNUMBER(SEARCH("metformina",J28)),K28="Não",L28="Não"),"Elegível","Não elegível")</x:f>
        <x:v>Elegível</x:v>
      </x:c>
    </x:row>
    <x:row r="29" ht="54" customHeight="1">
      <x:c r="A29" s="15" t="str">
        <x:v>PAC-028</x:v>
      </x:c>
      <x:c r="B29" s="15" t="n">
        <x:v>43</x:v>
      </x:c>
      <x:c r="C29" s="15" t="str">
        <x:v>F</x:v>
      </x:c>
      <x:c r="D29" s="15" t="str">
        <x:v>Diabetes mellitus tipo 2</x:v>
      </x:c>
      <x:c r="E29" s="15" t="str">
        <x:v>Esteatose hepática</x:v>
      </x:c>
      <x:c r="F29" s="18" t="n">
        <x:v>10.1</x:v>
      </x:c>
      <x:c r="G29" s="20" t="n">
        <x:v>0.81</x:v>
      </x:c>
      <x:c r="H29" s="15" t="n">
        <x:v>175</x:v>
      </x:c>
      <x:c r="I29" s="18" t="n">
        <x:v>41.7</x:v>
      </x:c>
      <x:c r="J29" s="15" t="str">
        <x:v>Metformina 500 mg 2x/dia</x:v>
      </x:c>
      <x:c r="K29" s="15" t="str">
        <x:v>Não</x:v>
      </x:c>
      <x:c r="L29" s="15" t="str">
        <x:v>Não</x:v>
      </x:c>
      <x:c r="M29" s="22" t="n">
        <x:v>46077</x:v>
      </x:c>
      <x:c r="N29" s="15" t="str">
        <x:v>Paciente em acompanhamento ambulatorial por DM2. 43 anos, sexo F. Informa uso irregular da dieta, porém mantém as medicações. Exames recentes: HbA1c 10.1%, glicemia de jejum 175 mg/dL, creatinina 0.81 mg/dL. IMC 41.7 kg/m². Em uso de Metformina 500 mg 2x/dia. Sem queixas agudas no momento. Reforçadas orientações dietéticas e de atividade física.</x:v>
      </x:c>
      <x:c r="O29" s="15" t="str">
        <x:v>Elegível</x:v>
      </x:c>
      <x:c r="P29" s="15" t="str">
        <x:v>Critérios claramente atendidos</x:v>
      </x:c>
      <x:c r="Q29" s="15" t="str">
        <x:f>IF(AND(B29&gt;=30,B29&lt;=70,F29&gt;=7,F29&lt;=10.5,G29&lt;=1.5,I29&gt;=25,I29&lt;=45,OR(ISNUMBER(SEARCH("diabetes",D29)),ISNUMBER(SEARCH("DM",D29))),ISNUMBER(SEARCH("metformina",J29)),K29="Não",L29="Não"),"Elegível","Não elegível")</x:f>
        <x:v>Elegível</x:v>
      </x:c>
    </x:row>
    <x:row r="30" ht="54" customHeight="1">
      <x:c r="A30" s="15" t="str">
        <x:v>PAC-029</x:v>
      </x:c>
      <x:c r="B30" s="15" t="n">
        <x:v>39</x:v>
      </x:c>
      <x:c r="C30" s="15" t="str">
        <x:v>F</x:v>
      </x:c>
      <x:c r="D30" s="15" t="str">
        <x:v>Diabetes mellitus tipo II</x:v>
      </x:c>
      <x:c r="E30" s="15" t="str">
        <x:v>Obesidade; Hipertensão arterial sistêmica</x:v>
      </x:c>
      <x:c r="F30" s="18" t="n">
        <x:v>9.7</x:v>
      </x:c>
      <x:c r="G30" s="20" t="n">
        <x:v>1.2</x:v>
      </x:c>
      <x:c r="H30" s="15" t="n">
        <x:v>173</x:v>
      </x:c>
      <x:c r="I30" s="18" t="n">
        <x:v>40.9</x:v>
      </x:c>
      <x:c r="J30" s="15" t="str">
        <x:v>Metformina 1.000 mg 2x/dia; Losartana 50 mg 2x/dia</x:v>
      </x:c>
      <x:c r="K30" s="15" t="str">
        <x:v>Não</x:v>
      </x:c>
      <x:c r="L30" s="15" t="str">
        <x:v>Não</x:v>
      </x:c>
      <x:c r="M30" s="22" t="n">
        <x:v>46102</x:v>
      </x:c>
      <x:c r="N30" s="15" t="str">
        <x:v>Paciente com diagnóstico prévio de DM2, em seguimento regular. 39 anos, sexo F. Refere adesão parcial às medidas não farmacológicas. Exames recentes: HbA1c 9.7%, glicemia de jejum 173 mg/dL, creatinina 1.20 mg/dL. IMC 40.9 kg/m². Em uso de Metformina 1.000 mg 2x/dia; Losartana 50 mg 2x/dia. Sem sintomas sugestivos de descompensação aguda. Programado retorno com novos exames laboratoriais.</x:v>
      </x:c>
      <x:c r="O30" s="15" t="str">
        <x:v>Elegível</x:v>
      </x:c>
      <x:c r="P30" s="15" t="str">
        <x:v>Critérios claramente atendidos</x:v>
      </x:c>
      <x:c r="Q30" s="15" t="str">
        <x:f>IF(AND(B30&gt;=30,B30&lt;=70,F30&gt;=7,F30&lt;=10.5,G30&lt;=1.5,I30&gt;=25,I30&lt;=45,OR(ISNUMBER(SEARCH("diabetes",D30)),ISNUMBER(SEARCH("DM",D30))),ISNUMBER(SEARCH("metformina",J30)),K30="Não",L30="Não"),"Elegível","Não elegível")</x:f>
        <x:v>Elegível</x:v>
      </x:c>
    </x:row>
    <x:row r="31" ht="54" customHeight="1">
      <x:c r="A31" s="15" t="str">
        <x:v>PAC-030</x:v>
      </x:c>
      <x:c r="B31" s="15" t="n">
        <x:v>38</x:v>
      </x:c>
      <x:c r="C31" s="15" t="str">
        <x:v>F</x:v>
      </x:c>
      <x:c r="D31" s="15" t="str">
        <x:v>Diabetes tipo 2</x:v>
      </x:c>
      <x:c r="E31" s="15" t="str">
        <x:v>Obesidade</x:v>
      </x:c>
      <x:c r="F31" s="18" t="n">
        <x:v>9.4</x:v>
      </x:c>
      <x:c r="G31" s="20" t="n">
        <x:v>1.03</x:v>
      </x:c>
      <x:c r="H31" s="15" t="n">
        <x:v>191</x:v>
      </x:c>
      <x:c r="I31" s="18" t="n">
        <x:v>36.6</x:v>
      </x:c>
      <x:c r="J31" s="15" t="str">
        <x:v>Metformina 850 mg 2x/dia; Losartana 50 mg/dia; Atorvastatina 20 mg/noite</x:v>
      </x:c>
      <x:c r="K31" s="15" t="str">
        <x:v>Não</x:v>
      </x:c>
      <x:c r="L31" s="15" t="str">
        <x:v>Não</x:v>
      </x:c>
      <x:c r="M31" s="22" t="n">
        <x:v>46235</x:v>
      </x:c>
      <x:c r="N31" s="15" t="str">
        <x:v>Retorna para seguimento de diabetes mellitus tipo 2. 38 anos, sexo F. Refere uso regular das medicações. Exames recentes: HbA1c 9.4%, glicemia de jejum 191 mg/dL, creatinina 1.03 mg/dL. IMC 36.6 kg/m². Em uso de Metformina 850 mg 2x/dia; Losartana 50 mg/dia; Atorvastatina 20 mg/noite. Clinicamente estável, sem intercorrências recentes. Orientada manutenção do seguimento e controle laboratorial.</x:v>
      </x:c>
      <x:c r="O31" s="15" t="str">
        <x:v>Elegível</x:v>
      </x:c>
      <x:c r="P31" s="15" t="str">
        <x:v>Critérios claramente atendidos</x:v>
      </x:c>
      <x:c r="Q31" s="15" t="str">
        <x:f>IF(AND(B31&gt;=30,B31&lt;=70,F31&gt;=7,F31&lt;=10.5,G31&lt;=1.5,I31&gt;=25,I31&lt;=45,OR(ISNUMBER(SEARCH("diabetes",D31)),ISNUMBER(SEARCH("DM",D31))),ISNUMBER(SEARCH("metformina",J31)),K31="Não",L31="Não"),"Elegível","Não elegível")</x:f>
        <x:v>Elegível</x:v>
      </x:c>
    </x:row>
    <x:row r="32" ht="54" customHeight="1">
      <x:c r="A32" s="15" t="str">
        <x:v>PAC-031</x:v>
      </x:c>
      <x:c r="B32" s="15" t="n">
        <x:v>62</x:v>
      </x:c>
      <x:c r="C32" s="15" t="str">
        <x:v>M</x:v>
      </x:c>
      <x:c r="D32" s="15" t="str">
        <x:v>Diabetes mellitus tipo 2</x:v>
      </x:c>
      <x:c r="E32" s="15" t="str">
        <x:v>Obesidade; Hipertensão arterial sistêmica</x:v>
      </x:c>
      <x:c r="F32" s="18" t="n">
        <x:v>8.8</x:v>
      </x:c>
      <x:c r="G32" s="20" t="n">
        <x:v>0.81</x:v>
      </x:c>
      <x:c r="H32" s="15" t="n">
        <x:v>158</x:v>
      </x:c>
      <x:c r="I32" s="18" t="n">
        <x:v>40.6</x:v>
      </x:c>
      <x:c r="J32" s="15" t="str">
        <x:v>Metformina 850 mg manhã e noite; Atorvastatina 20 mg à noite</x:v>
      </x:c>
      <x:c r="K32" s="15" t="str">
        <x:v>Não</x:v>
      </x:c>
      <x:c r="L32" s="15" t="str">
        <x:v>Não</x:v>
      </x:c>
      <x:c r="M32" s="22" t="n">
        <x:v>46098</x:v>
      </x:c>
      <x:c r="N32" s="15" t="str">
        <x:v>Reavaliação clínica de paciente com diabetes tipo 2. 62 anos, sexo M. Nega interrupção recente das medicações. Exames recentes: HbA1c 8.8%, glicemia de jejum 158 mg/dL, creatinina 0.81 mg/dL. IMC 40.6 kg/m². Em uso de Metformina 850 mg manhã e noite; Atorvastatina 20 mg à noite. Clinicamente estável, sem intercorrências recentes. Orientada manutenção do seguimento e controle laboratorial.</x:v>
      </x:c>
      <x:c r="O32" s="15" t="str">
        <x:v>Elegível</x:v>
      </x:c>
      <x:c r="P32" s="15" t="str">
        <x:v>Critérios claramente atendidos</x:v>
      </x:c>
      <x:c r="Q32" s="15" t="str">
        <x:f>IF(AND(B32&gt;=30,B32&lt;=70,F32&gt;=7,F32&lt;=10.5,G32&lt;=1.5,I32&gt;=25,I32&lt;=45,OR(ISNUMBER(SEARCH("diabetes",D32)),ISNUMBER(SEARCH("DM",D32))),ISNUMBER(SEARCH("metformina",J32)),K32="Não",L32="Não"),"Elegível","Não elegível")</x:f>
        <x:v>Elegível</x:v>
      </x:c>
    </x:row>
    <x:row r="33" ht="54" customHeight="1">
      <x:c r="A33" s="15" t="str">
        <x:v>PAC-032</x:v>
      </x:c>
      <x:c r="B33" s="15" t="n">
        <x:v>40</x:v>
      </x:c>
      <x:c r="C33" s="15" t="str">
        <x:v>F</x:v>
      </x:c>
      <x:c r="D33" s="15" t="str">
        <x:v>Diabetes mellitus tipo 2</x:v>
      </x:c>
      <x:c r="E33" s="15" t="str">
        <x:v>Esteatose hepática</x:v>
      </x:c>
      <x:c r="F33" s="18" t="n">
        <x:v>8.6</x:v>
      </x:c>
      <x:c r="G33" s="20" t="n">
        <x:v>0.86</x:v>
      </x:c>
      <x:c r="H33" s="15" t="n">
        <x:v>161</x:v>
      </x:c>
      <x:c r="I33" s="18" t="n">
        <x:v>36.5</x:v>
      </x:c>
      <x:c r="J33" s="15" t="str">
        <x:v>Metformina 850 mg manhã e noite</x:v>
      </x:c>
      <x:c r="K33" s="15" t="str">
        <x:v>Não</x:v>
      </x:c>
      <x:c r="L33" s="15" t="str">
        <x:v>Não</x:v>
      </x:c>
      <x:c r="M33" s="22" t="n">
        <x:v>46234</x:v>
      </x:c>
      <x:c r="N33" s="15" t="str">
        <x:v>Em consulta de rotina para controle metabólico. 40 anos, sexo F. Informa uso irregular da dieta, porém mantém as medicações. Exames recentes: HbA1c 8.6%, glicemia de jejum 161 mg/dL, creatinina 0.86 mg/dL. IMC 36.5 kg/m². Em uso de Metformina 850 mg manhã e noite. Nega hipoglicemias sintomáticas. Orientada manutenção do seguimento e controle laboratorial.</x:v>
      </x:c>
      <x:c r="O33" s="15" t="str">
        <x:v>Elegível</x:v>
      </x:c>
      <x:c r="P33" s="15" t="str">
        <x:v>Critérios claramente atendidos</x:v>
      </x:c>
      <x:c r="Q33" s="15" t="str">
        <x:f>IF(AND(B33&gt;=30,B33&lt;=70,F33&gt;=7,F33&lt;=10.5,G33&lt;=1.5,I33&gt;=25,I33&lt;=45,OR(ISNUMBER(SEARCH("diabetes",D33)),ISNUMBER(SEARCH("DM",D33))),ISNUMBER(SEARCH("metformina",J33)),K33="Não",L33="Não"),"Elegível","Não elegível")</x:f>
        <x:v>Elegível</x:v>
      </x:c>
    </x:row>
    <x:row r="34" ht="54" customHeight="1">
      <x:c r="A34" s="15" t="str">
        <x:v>PAC-033</x:v>
      </x:c>
      <x:c r="B34" s="15" t="n">
        <x:v>58</x:v>
      </x:c>
      <x:c r="C34" s="15" t="str">
        <x:v>F</x:v>
      </x:c>
      <x:c r="D34" s="15" t="str">
        <x:v>Diabetes tipo 2</x:v>
      </x:c>
      <x:c r="E34" s="15" t="str">
        <x:v>Obesidade</x:v>
      </x:c>
      <x:c r="F34" s="18" t="n">
        <x:v>9.6</x:v>
      </x:c>
      <x:c r="G34" s="20" t="n">
        <x:v>0.91</x:v>
      </x:c>
      <x:c r="H34" s="15" t="n">
        <x:v>172</x:v>
      </x:c>
      <x:c r="I34" s="18" t="n">
        <x:v>35</x:v>
      </x:c>
      <x:c r="J34" s="15" t="str">
        <x:v>Metformina XR 500 mg 2x/dia</x:v>
      </x:c>
      <x:c r="K34" s="15" t="str">
        <x:v>Não</x:v>
      </x:c>
      <x:c r="L34" s="15" t="str">
        <x:v>Não</x:v>
      </x:c>
      <x:c r="M34" s="22" t="n">
        <x:v>46186</x:v>
      </x:c>
      <x:c r="N34" s="15" t="str">
        <x:v>Paciente em acompanhamento ambulatorial por DM2. 58 anos, sexo F. Refere uso regular das medicações. Exames recentes: HbA1c 9.6%, glicemia de jejum 172 mg/dL, creatinina 0.91 mg/dL. IMC 35.0 kg/m². Em uso de Metformina XR 500 mg 2x/dia. Clinicamente estável, sem intercorrências recentes. Reforçadas orientações dietéticas e de atividade física.</x:v>
      </x:c>
      <x:c r="O34" s="15" t="str">
        <x:v>Elegível</x:v>
      </x:c>
      <x:c r="P34" s="15" t="str">
        <x:v>Critérios claramente atendidos</x:v>
      </x:c>
      <x:c r="Q34" s="15" t="str">
        <x:f>IF(AND(B34&gt;=30,B34&lt;=70,F34&gt;=7,F34&lt;=10.5,G34&lt;=1.5,I34&gt;=25,I34&lt;=45,OR(ISNUMBER(SEARCH("diabetes",D34)),ISNUMBER(SEARCH("DM",D34))),ISNUMBER(SEARCH("metformina",J34)),K34="Não",L34="Não"),"Elegível","Não elegível")</x:f>
        <x:v>Elegível</x:v>
      </x:c>
    </x:row>
    <x:row r="35" ht="54" customHeight="1">
      <x:c r="A35" s="15" t="str">
        <x:v>PAC-034</x:v>
      </x:c>
      <x:c r="B35" s="15" t="n">
        <x:v>65</x:v>
      </x:c>
      <x:c r="C35" s="15" t="str">
        <x:v>F</x:v>
      </x:c>
      <x:c r="D35" s="15" t="str">
        <x:v>DM tipo II</x:v>
      </x:c>
      <x:c r="E35" s="15" t="str">
        <x:v>Hipertensão arterial sistêmica</x:v>
      </x:c>
      <x:c r="F35" s="18" t="n">
        <x:v>8.2</x:v>
      </x:c>
      <x:c r="G35" s="20" t="n">
        <x:v>1.1</x:v>
      </x:c>
      <x:c r="H35" s="15" t="n">
        <x:v>170</x:v>
      </x:c>
      <x:c r="I35" s="18" t="n">
        <x:v>26</x:v>
      </x:c>
      <x:c r="J35" s="15" t="str">
        <x:v>Metformina 500 mg 2x/dia; Losartana 50 mg 2x/dia</x:v>
      </x:c>
      <x:c r="K35" s="15" t="str">
        <x:v>Não</x:v>
      </x:c>
      <x:c r="L35" s="15" t="str">
        <x:v>Não</x:v>
      </x:c>
      <x:c r="M35" s="22" t="n">
        <x:v>46164</x:v>
      </x:c>
      <x:c r="N35" s="15" t="str">
        <x:v>Paciente com diagnóstico prévio de DM2, em seguimento regular. 65 anos, sexo F. Refere uso regular das medicações. Exames recentes: HbA1c 8.2%, glicemia de jejum 170 mg/dL, creatinina 1.10 mg/dL. IMC 26.0 kg/m². Em uso de Metformina 500 mg 2x/dia; Losartana 50 mg 2x/dia. Sem queixas agudas no momento. Mantido acompanhamento e reforçadas medidas de estilo de vida.</x:v>
      </x:c>
      <x:c r="O35" s="15" t="str">
        <x:v>Elegível</x:v>
      </x:c>
      <x:c r="P35" s="15" t="str">
        <x:v>Critérios claramente atendidos</x:v>
      </x:c>
      <x:c r="Q35" s="15" t="str">
        <x:f>IF(AND(B35&gt;=30,B35&lt;=70,F35&gt;=7,F35&lt;=10.5,G35&lt;=1.5,I35&gt;=25,I35&lt;=45,OR(ISNUMBER(SEARCH("diabetes",D35)),ISNUMBER(SEARCH("DM",D35))),ISNUMBER(SEARCH("metformina",J35)),K35="Não",L35="Não"),"Elegível","Não elegível")</x:f>
        <x:v>Elegível</x:v>
      </x:c>
    </x:row>
    <x:row r="36" ht="54" customHeight="1">
      <x:c r="A36" s="15" t="str">
        <x:v>PAC-035</x:v>
      </x:c>
      <x:c r="B36" s="15" t="n">
        <x:v>64</x:v>
      </x:c>
      <x:c r="C36" s="15" t="str">
        <x:v>M</x:v>
      </x:c>
      <x:c r="D36" s="15" t="str">
        <x:v>DM tipo II</x:v>
      </x:c>
      <x:c r="E36" s="15" t="str">
        <x:v>Hipertensão arterial sistêmica</x:v>
      </x:c>
      <x:c r="F36" s="18" t="n">
        <x:v>9.9</x:v>
      </x:c>
      <x:c r="G36" s="20" t="n">
        <x:v>0.79</x:v>
      </x:c>
      <x:c r="H36" s="15" t="n">
        <x:v>175</x:v>
      </x:c>
      <x:c r="I36" s="18" t="n">
        <x:v>29.9</x:v>
      </x:c>
      <x:c r="J36" s="15" t="str">
        <x:v>Metformina 500 mg 2x/dia; Sinvastatina 20 mg à noite</x:v>
      </x:c>
      <x:c r="K36" s="15" t="str">
        <x:v>Não</x:v>
      </x:c>
      <x:c r="L36" s="15" t="str">
        <x:v>Não</x:v>
      </x:c>
      <x:c r="M36" s="22" t="n">
        <x:v>46037</x:v>
      </x:c>
      <x:c r="N36" s="15" t="str">
        <x:v>Retorna para seguimento de diabetes mellitus tipo 2. 64 anos, sexo M. Refere adesão parcial às medidas não farmacológicas. Exames recentes: HbA1c 9.9%, glicemia de jejum 175 mg/dL, creatinina 0.79 mg/dL. IMC 29.9 kg/m². Em uso de Metformina 500 mg 2x/dia; Sinvastatina 20 mg à noite. Clinicamente estável, sem intercorrências recentes. Mantido acompanhamento e reforçadas medidas de estilo de vida.</x:v>
      </x:c>
      <x:c r="O36" s="15" t="str">
        <x:v>Elegível</x:v>
      </x:c>
      <x:c r="P36" s="15" t="str">
        <x:v>Critérios claramente atendidos</x:v>
      </x:c>
      <x:c r="Q36" s="15" t="str">
        <x:f>IF(AND(B36&gt;=30,B36&lt;=70,F36&gt;=7,F36&lt;=10.5,G36&lt;=1.5,I36&gt;=25,I36&lt;=45,OR(ISNUMBER(SEARCH("diabetes",D36)),ISNUMBER(SEARCH("DM",D36))),ISNUMBER(SEARCH("metformina",J36)),K36="Não",L36="Não"),"Elegível","Não elegível")</x:f>
        <x:v>Elegível</x:v>
      </x:c>
    </x:row>
    <x:row r="37" ht="54" customHeight="1">
      <x:c r="A37" s="15" t="str">
        <x:v>PAC-036</x:v>
      </x:c>
      <x:c r="B37" s="15" t="n">
        <x:v>55</x:v>
      </x:c>
      <x:c r="C37" s="15" t="str">
        <x:v>F</x:v>
      </x:c>
      <x:c r="D37" s="15" t="str">
        <x:v>Diabetes tipo 2</x:v>
      </x:c>
      <x:c r="E37" s="15" t="str">
        <x:v>Doença do refluxo gastroesofágico</x:v>
      </x:c>
      <x:c r="F37" s="18" t="n">
        <x:v>7.9</x:v>
      </x:c>
      <x:c r="G37" s="20" t="n">
        <x:v>1.23</x:v>
      </x:c>
      <x:c r="H37" s="15" t="n">
        <x:v>157</x:v>
      </x:c>
      <x:c r="I37" s="18" t="n">
        <x:v>39.5</x:v>
      </x:c>
      <x:c r="J37" s="15" t="str">
        <x:v>Metformina 850 mg manhã e noite; Amlodipino 5 mg/dia</x:v>
      </x:c>
      <x:c r="K37" s="15" t="str">
        <x:v>Não</x:v>
      </x:c>
      <x:c r="L37" s="15" t="str">
        <x:v>Não</x:v>
      </x:c>
      <x:c r="M37" s="22" t="n">
        <x:v>46250</x:v>
      </x:c>
      <x:c r="N37" s="15" t="str">
        <x:v>Em consulta de rotina para controle metabólico. 55 anos, sexo F. Relata boa adesão ao tratamento prescrito. Exames recentes: HbA1c 7.9%, glicemia de jejum 157 mg/dL, creatinina 1.23 mg/dL. IMC 39.5 kg/m². Em uso de Metformina 850 mg manhã e noite; Amlodipino 5 mg/dia. Clinicamente estável, sem intercorrências recentes. Reforçadas orientações dietéticas e de atividade física.</x:v>
      </x:c>
      <x:c r="O37" s="15" t="str">
        <x:v>Elegível</x:v>
      </x:c>
      <x:c r="P37" s="15" t="str">
        <x:v>Critérios claramente atendidos</x:v>
      </x:c>
      <x:c r="Q37" s="15" t="str">
        <x:f>IF(AND(B37&gt;=30,B37&lt;=70,F37&gt;=7,F37&lt;=10.5,G37&lt;=1.5,I37&gt;=25,I37&lt;=45,OR(ISNUMBER(SEARCH("diabetes",D37)),ISNUMBER(SEARCH("DM",D37))),ISNUMBER(SEARCH("metformina",J37)),K37="Não",L37="Não"),"Elegível","Não elegível")</x:f>
        <x:v>Elegível</x:v>
      </x:c>
    </x:row>
    <x:row r="38" ht="54" customHeight="1">
      <x:c r="A38" s="15" t="str">
        <x:v>PAC-037</x:v>
      </x:c>
      <x:c r="B38" s="15" t="n">
        <x:v>48</x:v>
      </x:c>
      <x:c r="C38" s="15" t="str">
        <x:v>F</x:v>
      </x:c>
      <x:c r="D38" s="15" t="str">
        <x:v>Diabetes tipo 2</x:v>
      </x:c>
      <x:c r="E38" s="15" t="str">
        <x:v>Sem comorbidades relevantes</x:v>
      </x:c>
      <x:c r="F38" s="18" t="n">
        <x:v>8</x:v>
      </x:c>
      <x:c r="G38" s="20" t="n">
        <x:v>0.66</x:v>
      </x:c>
      <x:c r="H38" s="15" t="n">
        <x:v>158</x:v>
      </x:c>
      <x:c r="I38" s="18" t="n">
        <x:v>32.1</x:v>
      </x:c>
      <x:c r="J38" s="15" t="str">
        <x:v>Metformina XR 1.000 mg à noite; Atorvastatina 20 mg à noite</x:v>
      </x:c>
      <x:c r="K38" s="15" t="str">
        <x:v>Não</x:v>
      </x:c>
      <x:c r="L38" s="15" t="str">
        <x:v>Não</x:v>
      </x:c>
      <x:c r="M38" s="22" t="n">
        <x:v>46111</x:v>
      </x:c>
      <x:c r="N38" s="15" t="str">
        <x:v>Reavaliação clínica de paciente com diabetes tipo 2. 48 anos, sexo F. Refere uso regular das medicações. Exames recentes: HbA1c 8.0%, glicemia de jejum 158 mg/dL, creatinina 0.66 mg/dL. IMC 32.1 kg/m². Em uso de Metformina XR 1.000 mg à noite; Atorvastatina 20 mg à noite. Sem queixas agudas no momento. Reforçadas orientações dietéticas e de atividade física.</x:v>
      </x:c>
      <x:c r="O38" s="15" t="str">
        <x:v>Elegível</x:v>
      </x:c>
      <x:c r="P38" s="15" t="str">
        <x:v>Critérios claramente atendidos</x:v>
      </x:c>
      <x:c r="Q38" s="15" t="str">
        <x:f>IF(AND(B38&gt;=30,B38&lt;=70,F38&gt;=7,F38&lt;=10.5,G38&lt;=1.5,I38&gt;=25,I38&lt;=45,OR(ISNUMBER(SEARCH("diabetes",D38)),ISNUMBER(SEARCH("DM",D38))),ISNUMBER(SEARCH("metformina",J38)),K38="Não",L38="Não"),"Elegível","Não elegível")</x:f>
        <x:v>Elegível</x:v>
      </x:c>
    </x:row>
    <x:row r="39" ht="54" customHeight="1">
      <x:c r="A39" s="15" t="str">
        <x:v>PAC-038</x:v>
      </x:c>
      <x:c r="B39" s="15" t="n">
        <x:v>60</x:v>
      </x:c>
      <x:c r="C39" s="15" t="str">
        <x:v>M</x:v>
      </x:c>
      <x:c r="D39" s="15" t="str">
        <x:v>Diabetes mellitus tipo 2</x:v>
      </x:c>
      <x:c r="E39" s="15" t="str">
        <x:v>Sem comorbidades relevantes</x:v>
      </x:c>
      <x:c r="F39" s="18" t="n">
        <x:v>8.6</x:v>
      </x:c>
      <x:c r="G39" s="20" t="n">
        <x:v>0.9</x:v>
      </x:c>
      <x:c r="H39" s="15" t="n">
        <x:v>173</x:v>
      </x:c>
      <x:c r="I39" s="18" t="n">
        <x:v>31.2</x:v>
      </x:c>
      <x:c r="J39" s="15" t="str">
        <x:v>Metformina XR 500 mg 2x/dia; Losartana 50 mg/dia; Atorvastatina 20 mg/noite</x:v>
      </x:c>
      <x:c r="K39" s="15" t="str">
        <x:v>Não</x:v>
      </x:c>
      <x:c r="L39" s="15" t="str">
        <x:v>Não</x:v>
      </x:c>
      <x:c r="M39" s="22" t="n">
        <x:v>46076</x:v>
      </x:c>
      <x:c r="N39" s="15" t="str">
        <x:v>Retorna para seguimento de diabetes mellitus tipo 2. 60 anos, sexo M. Refere adesão parcial às medidas não farmacológicas. Exames recentes: HbA1c 8.6%, glicemia de jejum 173 mg/dL, creatinina 0.90 mg/dL. IMC 31.2 kg/m². Em uso de Metformina XR 500 mg 2x/dia; Losartana 50 mg/dia; Atorvastatina 20 mg/noite. Nega hipoglicemias sintomáticas. Mantido acompanhamento e reforçadas medidas de estilo de vida.</x:v>
      </x:c>
      <x:c r="O39" s="15" t="str">
        <x:v>Elegível</x:v>
      </x:c>
      <x:c r="P39" s="15" t="str">
        <x:v>Critérios claramente atendidos</x:v>
      </x:c>
      <x:c r="Q39" s="15" t="str">
        <x:f>IF(AND(B39&gt;=30,B39&lt;=70,F39&gt;=7,F39&lt;=10.5,G39&lt;=1.5,I39&gt;=25,I39&lt;=45,OR(ISNUMBER(SEARCH("diabetes",D39)),ISNUMBER(SEARCH("DM",D39))),ISNUMBER(SEARCH("metformina",J39)),K39="Não",L39="Não"),"Elegível","Não elegível")</x:f>
        <x:v>Elegível</x:v>
      </x:c>
    </x:row>
    <x:row r="40" ht="54" customHeight="1">
      <x:c r="A40" s="15" t="str">
        <x:v>PAC-039</x:v>
      </x:c>
      <x:c r="B40" s="15" t="n">
        <x:v>61</x:v>
      </x:c>
      <x:c r="C40" s="15" t="str">
        <x:v>F</x:v>
      </x:c>
      <x:c r="D40" s="15" t="str">
        <x:v>Diabetes tipo 2</x:v>
      </x:c>
      <x:c r="E40" s="15" t="str">
        <x:v>Hipertensão arterial sistêmica</x:v>
      </x:c>
      <x:c r="F40" s="18" t="n">
        <x:v>7.9</x:v>
      </x:c>
      <x:c r="G40" s="20" t="n">
        <x:v>0.67</x:v>
      </x:c>
      <x:c r="H40" s="15" t="n">
        <x:v>181</x:v>
      </x:c>
      <x:c r="I40" s="18" t="n">
        <x:v>33.6</x:v>
      </x:c>
      <x:c r="J40" s="15" t="str">
        <x:v>Metformina 850 mg 2x/dia; Amlodipino 5 mg/dia</x:v>
      </x:c>
      <x:c r="K40" s="15" t="str">
        <x:v>Não</x:v>
      </x:c>
      <x:c r="L40" s="15" t="str">
        <x:v>Não</x:v>
      </x:c>
      <x:c r="M40" s="22" t="n">
        <x:v>46235</x:v>
      </x:c>
      <x:c r="N40" s="15" t="str">
        <x:v>Paciente com diagnóstico prévio de DM2, em seguimento regular. 61 anos, sexo F. Nega interrupção recente das medicações. Exames recentes: HbA1c 7.9%, glicemia de jejum 181 mg/dL, creatinina 0.67 mg/dL. IMC 33.6 kg/m². Em uso de Metformina 850 mg 2x/dia; Amlodipino 5 mg/dia. Nega hipoglicemias sintomáticas. Orientada manutenção do seguimento e controle laboratorial.</x:v>
      </x:c>
      <x:c r="O40" s="15" t="str">
        <x:v>Elegível</x:v>
      </x:c>
      <x:c r="P40" s="15" t="str">
        <x:v>Critérios claramente atendidos</x:v>
      </x:c>
      <x:c r="Q40" s="15" t="str">
        <x:f>IF(AND(B40&gt;=30,B40&lt;=70,F40&gt;=7,F40&lt;=10.5,G40&lt;=1.5,I40&gt;=25,I40&lt;=45,OR(ISNUMBER(SEARCH("diabetes",D40)),ISNUMBER(SEARCH("DM",D40))),ISNUMBER(SEARCH("metformina",J40)),K40="Não",L40="Não"),"Elegível","Não elegível")</x:f>
        <x:v>Elegível</x:v>
      </x:c>
    </x:row>
    <x:row r="41" ht="54" customHeight="1">
      <x:c r="A41" s="15" t="str">
        <x:v>PAC-040</x:v>
      </x:c>
      <x:c r="B41" s="15" t="n">
        <x:v>60</x:v>
      </x:c>
      <x:c r="C41" s="15" t="str">
        <x:v>M</x:v>
      </x:c>
      <x:c r="D41" s="15" t="str">
        <x:v>Diabetes tipo 2</x:v>
      </x:c>
      <x:c r="E41" s="15" t="str">
        <x:v>Hipotireoidismo</x:v>
      </x:c>
      <x:c r="F41" s="18" t="n">
        <x:v>8.3</x:v>
      </x:c>
      <x:c r="G41" s="20" t="n">
        <x:v>1.32</x:v>
      </x:c>
      <x:c r="H41" s="15" t="n">
        <x:v>154</x:v>
      </x:c>
      <x:c r="I41" s="18" t="n">
        <x:v>26.3</x:v>
      </x:c>
      <x:c r="J41" s="15" t="str">
        <x:v>Metformina 1.000 mg 2x/dia; Losartana 50 mg 2x/dia</x:v>
      </x:c>
      <x:c r="K41" s="15" t="str">
        <x:v>Não</x:v>
      </x:c>
      <x:c r="L41" s="15" t="str">
        <x:v>Não</x:v>
      </x:c>
      <x:c r="M41" s="22" t="n">
        <x:v>46212</x:v>
      </x:c>
      <x:c r="N41" s="15" t="str">
        <x:v>Retorna para seguimento de diabetes mellitus tipo 2. 60 anos, sexo M. Informa uso irregular da dieta, porém mantém as medicações. Exames recentes: HbA1c 8.3%, glicemia de jejum 154 mg/dL, creatinina 1.32 mg/dL. IMC 26.3 kg/m². Em uso de Metformina 1.000 mg 2x/dia; Losartana 50 mg 2x/dia. Sem sintomas sugestivos de descompensação aguda. Programado retorno com novos exames laboratoriais.</x:v>
      </x:c>
      <x:c r="O41" s="15" t="str">
        <x:v>Elegível</x:v>
      </x:c>
      <x:c r="P41" s="15" t="str">
        <x:v>Critérios claramente atendidos</x:v>
      </x:c>
      <x:c r="Q41" s="15" t="str">
        <x:f>IF(AND(B41&gt;=30,B41&lt;=70,F41&gt;=7,F41&lt;=10.5,G41&lt;=1.5,I41&gt;=25,I41&lt;=45,OR(ISNUMBER(SEARCH("diabetes",D41)),ISNUMBER(SEARCH("DM",D41))),ISNUMBER(SEARCH("metformina",J41)),K41="Não",L41="Não"),"Elegível","Não elegível")</x:f>
        <x:v>Elegível</x:v>
      </x:c>
    </x:row>
    <x:row r="42" ht="54" customHeight="1">
      <x:c r="A42" s="15" t="str">
        <x:v>PAC-041</x:v>
      </x:c>
      <x:c r="B42" s="15" t="n">
        <x:v>42</x:v>
      </x:c>
      <x:c r="C42" s="15" t="str">
        <x:v>F</x:v>
      </x:c>
      <x:c r="D42" s="15" t="str">
        <x:v>Diabetes mellitus tipo II</x:v>
      </x:c>
      <x:c r="E42" s="15" t="str">
        <x:v>Sem comorbidades relevantes</x:v>
      </x:c>
      <x:c r="F42" s="18" t="n">
        <x:v>7.9</x:v>
      </x:c>
      <x:c r="G42" s="20" t="n">
        <x:v>0.8</x:v>
      </x:c>
      <x:c r="H42" s="15" t="n">
        <x:v>166</x:v>
      </x:c>
      <x:c r="I42" s="18" t="n">
        <x:v>30.5</x:v>
      </x:c>
      <x:c r="J42" s="15" t="str">
        <x:v>Metformina 500 mg 2x/dia; Losartana 50 mg 2x/dia</x:v>
      </x:c>
      <x:c r="K42" s="15" t="str">
        <x:v>Não</x:v>
      </x:c>
      <x:c r="L42" s="15" t="str">
        <x:v>Não</x:v>
      </x:c>
      <x:c r="M42" s="22" t="n">
        <x:v>46256</x:v>
      </x:c>
      <x:c r="N42" s="15" t="str">
        <x:v>Paciente em acompanhamento ambulatorial por DM2. 42 anos, sexo F. Informa uso irregular da dieta, porém mantém as medicações. Exames recentes: HbA1c 7.9%, glicemia de jejum 166 mg/dL, creatinina 0.80 mg/dL. IMC 30.5 kg/m². Em uso de Metformina 500 mg 2x/dia; Losartana 50 mg 2x/dia. Sem sintomas sugestivos de descompensação aguda. Reforçadas orientações dietéticas e de atividade física.</x:v>
      </x:c>
      <x:c r="O42" s="15" t="str">
        <x:v>Elegível</x:v>
      </x:c>
      <x:c r="P42" s="15" t="str">
        <x:v>Critérios claramente atendidos</x:v>
      </x:c>
      <x:c r="Q42" s="15" t="str">
        <x:f>IF(AND(B42&gt;=30,B42&lt;=70,F42&gt;=7,F42&lt;=10.5,G42&lt;=1.5,I42&gt;=25,I42&lt;=45,OR(ISNUMBER(SEARCH("diabetes",D42)),ISNUMBER(SEARCH("DM",D42))),ISNUMBER(SEARCH("metformina",J42)),K42="Não",L42="Não"),"Elegível","Não elegível")</x:f>
        <x:v>Elegível</x:v>
      </x:c>
    </x:row>
    <x:row r="43" ht="54" customHeight="1">
      <x:c r="A43" s="15" t="str">
        <x:v>PAC-042</x:v>
      </x:c>
      <x:c r="B43" s="15" t="n">
        <x:v>40</x:v>
      </x:c>
      <x:c r="C43" s="15" t="str">
        <x:v>F</x:v>
      </x:c>
      <x:c r="D43" s="15" t="str">
        <x:v>DM tipo II</x:v>
      </x:c>
      <x:c r="E43" s="15" t="str">
        <x:v>Sem comorbidades relevantes</x:v>
      </x:c>
      <x:c r="F43" s="18" t="n">
        <x:v>9.5</x:v>
      </x:c>
      <x:c r="G43" s="20" t="n">
        <x:v>1.13</x:v>
      </x:c>
      <x:c r="H43" s="15" t="n">
        <x:v>188</x:v>
      </x:c>
      <x:c r="I43" s="18" t="n">
        <x:v>40</x:v>
      </x:c>
      <x:c r="J43" s="15" t="str">
        <x:v>Metformina 500 mg 2x/dia; Amlodipino 5 mg/dia</x:v>
      </x:c>
      <x:c r="K43" s="15" t="str">
        <x:v>Não</x:v>
      </x:c>
      <x:c r="L43" s="15" t="str">
        <x:v>Não</x:v>
      </x:c>
      <x:c r="M43" s="22" t="n">
        <x:v>46211</x:v>
      </x:c>
      <x:c r="N43" s="15" t="str">
        <x:v>Paciente em acompanhamento ambulatorial por DM2. 40 anos, sexo F. Refere adesão parcial às medidas não farmacológicas. Exames recentes: HbA1c 9.5%, glicemia de jejum 188 mg/dL, creatinina 1.13 mg/dL. IMC 40.0 kg/m². Em uso de Metformina 500 mg 2x/dia; Amlodipino 5 mg/dia. Nega hipoglicemias sintomáticas. Programado retorno com novos exames laboratoriais.</x:v>
      </x:c>
      <x:c r="O43" s="15" t="str">
        <x:v>Elegível</x:v>
      </x:c>
      <x:c r="P43" s="15" t="str">
        <x:v>Critérios claramente atendidos</x:v>
      </x:c>
      <x:c r="Q43" s="15" t="str">
        <x:f>IF(AND(B43&gt;=30,B43&lt;=70,F43&gt;=7,F43&lt;=10.5,G43&lt;=1.5,I43&gt;=25,I43&lt;=45,OR(ISNUMBER(SEARCH("diabetes",D43)),ISNUMBER(SEARCH("DM",D43))),ISNUMBER(SEARCH("metformina",J43)),K43="Não",L43="Não"),"Elegível","Não elegível")</x:f>
        <x:v>Elegível</x:v>
      </x:c>
    </x:row>
    <x:row r="44" ht="54" customHeight="1">
      <x:c r="A44" s="15" t="str">
        <x:v>PAC-043</x:v>
      </x:c>
      <x:c r="B44" s="15" t="n">
        <x:v>63</x:v>
      </x:c>
      <x:c r="C44" s="15" t="str">
        <x:v>M</x:v>
      </x:c>
      <x:c r="D44" s="15" t="str">
        <x:v>Diabetes mellitus tipo II</x:v>
      </x:c>
      <x:c r="E44" s="15" t="str">
        <x:v>Esteatose hepática</x:v>
      </x:c>
      <x:c r="F44" s="18" t="n">
        <x:v>9.6</x:v>
      </x:c>
      <x:c r="G44" s="20" t="n">
        <x:v>0.79</x:v>
      </x:c>
      <x:c r="H44" s="15" t="n">
        <x:v>170</x:v>
      </x:c>
      <x:c r="I44" s="18" t="n">
        <x:v>28.7</x:v>
      </x:c>
      <x:c r="J44" s="15" t="str">
        <x:v>Metformina XR 500 mg 2x/dia; Amlodipino 5 mg/dia</x:v>
      </x:c>
      <x:c r="K44" s="15" t="str">
        <x:v>Não</x:v>
      </x:c>
      <x:c r="L44" s="15" t="str">
        <x:v>Não</x:v>
      </x:c>
      <x:c r="M44" s="22" t="n">
        <x:v>46129</x:v>
      </x:c>
      <x:c r="N44" s="15" t="str">
        <x:v>Retorna para seguimento de diabetes mellitus tipo 2. 63 anos, sexo M. Refere uso regular das medicações. Exames recentes: HbA1c 9.6%, glicemia de jejum 170 mg/dL, creatinina 0.79 mg/dL. IMC 28.7 kg/m². Em uso de Metformina XR 500 mg 2x/dia; Amlodipino 5 mg/dia. Nega poliúria, polidipsia ou perda ponderal recente. Programado retorno com novos exames laboratoriais.</x:v>
      </x:c>
      <x:c r="O44" s="15" t="str">
        <x:v>Elegível</x:v>
      </x:c>
      <x:c r="P44" s="15" t="str">
        <x:v>Critérios claramente atendidos</x:v>
      </x:c>
      <x:c r="Q44" s="15" t="str">
        <x:f>IF(AND(B44&gt;=30,B44&lt;=70,F44&gt;=7,F44&lt;=10.5,G44&lt;=1.5,I44&gt;=25,I44&lt;=45,OR(ISNUMBER(SEARCH("diabetes",D44)),ISNUMBER(SEARCH("DM",D44))),ISNUMBER(SEARCH("metformina",J44)),K44="Não",L44="Não"),"Elegível","Não elegível")</x:f>
        <x:v>Elegível</x:v>
      </x:c>
    </x:row>
    <x:row r="45" ht="54" customHeight="1">
      <x:c r="A45" s="15" t="str">
        <x:v>PAC-044</x:v>
      </x:c>
      <x:c r="B45" s="15" t="n">
        <x:v>56</x:v>
      </x:c>
      <x:c r="C45" s="15" t="str">
        <x:v>F</x:v>
      </x:c>
      <x:c r="D45" s="15" t="str">
        <x:v>Diabetes mellitus tipo 2</x:v>
      </x:c>
      <x:c r="E45" s="15" t="str">
        <x:v>Obesidade</x:v>
      </x:c>
      <x:c r="F45" s="18" t="n">
        <x:v>9.6</x:v>
      </x:c>
      <x:c r="G45" s="20" t="n">
        <x:v>1.05</x:v>
      </x:c>
      <x:c r="H45" s="15" t="n">
        <x:v>171</x:v>
      </x:c>
      <x:c r="I45" s="18" t="n">
        <x:v>31</x:v>
      </x:c>
      <x:c r="J45" s="15" t="str">
        <x:v>Metformina 850 mg manhã e noite; Losartana 50 mg/dia; Atorvastatina 20 mg/noite</x:v>
      </x:c>
      <x:c r="K45" s="15" t="str">
        <x:v>Não</x:v>
      </x:c>
      <x:c r="L45" s="15" t="str">
        <x:v>Não</x:v>
      </x:c>
      <x:c r="M45" s="22" t="n">
        <x:v>46096</x:v>
      </x:c>
      <x:c r="N45" s="15" t="str">
        <x:v>Reavaliação clínica de paciente com diabetes tipo 2. 56 anos, sexo F. Nega interrupção recente das medicações. Exames recentes: HbA1c 9.6%, glicemia de jejum 171 mg/dL, creatinina 1.05 mg/dL. IMC 31.0 kg/m². Em uso de Metformina 850 mg manhã e noite; Losartana 50 mg/dia; Atorvastatina 20 mg/noite. Sem sintomas sugestivos de descompensação aguda. Orientada manutenção do seguimento e controle laboratorial.</x:v>
      </x:c>
      <x:c r="O45" s="15" t="str">
        <x:v>Elegível</x:v>
      </x:c>
      <x:c r="P45" s="15" t="str">
        <x:v>Critérios claramente atendidos</x:v>
      </x:c>
      <x:c r="Q45" s="15" t="str">
        <x:f>IF(AND(B45&gt;=30,B45&lt;=70,F45&gt;=7,F45&lt;=10.5,G45&lt;=1.5,I45&gt;=25,I45&lt;=45,OR(ISNUMBER(SEARCH("diabetes",D45)),ISNUMBER(SEARCH("DM",D45))),ISNUMBER(SEARCH("metformina",J45)),K45="Não",L45="Não"),"Elegível","Não elegível")</x:f>
        <x:v>Elegível</x:v>
      </x:c>
    </x:row>
    <x:row r="46" ht="54" customHeight="1">
      <x:c r="A46" s="15" t="str">
        <x:v>PAC-045</x:v>
      </x:c>
      <x:c r="B46" s="15" t="n">
        <x:v>54</x:v>
      </x:c>
      <x:c r="C46" s="15" t="str">
        <x:v>M</x:v>
      </x:c>
      <x:c r="D46" s="15" t="str">
        <x:v>Diabetes tipo 2</x:v>
      </x:c>
      <x:c r="E46" s="15" t="str">
        <x:v>Hipertensão arterial sistêmica</x:v>
      </x:c>
      <x:c r="F46" s="18" t="n">
        <x:v>9.3</x:v>
      </x:c>
      <x:c r="G46" s="20" t="n">
        <x:v>1.11</x:v>
      </x:c>
      <x:c r="H46" s="15" t="n">
        <x:v>167</x:v>
      </x:c>
      <x:c r="I46" s="18" t="n">
        <x:v>34.1</x:v>
      </x:c>
      <x:c r="J46" s="15" t="str">
        <x:v>Metformina 500 mg 2x/dia; Sinvastatina 20 mg à noite</x:v>
      </x:c>
      <x:c r="K46" s="15" t="str">
        <x:v>Não</x:v>
      </x:c>
      <x:c r="L46" s="15" t="str">
        <x:v>Não</x:v>
      </x:c>
      <x:c r="M46" s="22" t="n">
        <x:v>46236</x:v>
      </x:c>
      <x:c r="N46" s="15" t="str">
        <x:v>Retorna para seguimento de diabetes mellitus tipo 2. 54 anos, sexo M. Refere uso regular das medicações. Exames recentes: HbA1c 9.3%, glicemia de jejum 167 mg/dL, creatinina 1.11 mg/dL. IMC 34.1 kg/m². Em uso de Metformina 500 mg 2x/dia; Sinvastatina 20 mg à noite. Nega poliúria, polidipsia ou perda ponderal recente. Mantida terapêutica atual até reavaliação.</x:v>
      </x:c>
      <x:c r="O46" s="15" t="str">
        <x:v>Elegível</x:v>
      </x:c>
      <x:c r="P46" s="15" t="str">
        <x:v>Critérios claramente atendidos</x:v>
      </x:c>
      <x:c r="Q46" s="15" t="str">
        <x:f>IF(AND(B46&gt;=30,B46&lt;=70,F46&gt;=7,F46&lt;=10.5,G46&lt;=1.5,I46&gt;=25,I46&lt;=45,OR(ISNUMBER(SEARCH("diabetes",D46)),ISNUMBER(SEARCH("DM",D46))),ISNUMBER(SEARCH("metformina",J46)),K46="Não",L46="Não"),"Elegível","Não elegível")</x:f>
        <x:v>Elegível</x:v>
      </x:c>
    </x:row>
    <x:row r="47" ht="54" customHeight="1">
      <x:c r="A47" s="15" t="str">
        <x:v>PAC-046</x:v>
      </x:c>
      <x:c r="B47" s="15" t="n">
        <x:v>64</x:v>
      </x:c>
      <x:c r="C47" s="15" t="str">
        <x:v>M</x:v>
      </x:c>
      <x:c r="D47" s="15" t="str">
        <x:v>Diabetes tipo 2</x:v>
      </x:c>
      <x:c r="E47" s="15" t="str">
        <x:v>Sem comorbidades relevantes</x:v>
      </x:c>
      <x:c r="F47" s="18" t="n">
        <x:v>7.8</x:v>
      </x:c>
      <x:c r="G47" s="20" t="n">
        <x:v>0.81</x:v>
      </x:c>
      <x:c r="H47" s="15" t="n">
        <x:v>158</x:v>
      </x:c>
      <x:c r="I47" s="18" t="n">
        <x:v>26.4</x:v>
      </x:c>
      <x:c r="J47" s="15" t="str">
        <x:v>Metformina XR 1.000 mg à noite; Losartana 50 mg/dia; Atorvastatina 20 mg/noite</x:v>
      </x:c>
      <x:c r="K47" s="15" t="str">
        <x:v>Não</x:v>
      </x:c>
      <x:c r="L47" s="15" t="str">
        <x:v>Não</x:v>
      </x:c>
      <x:c r="M47" s="22" t="n">
        <x:v>46103</x:v>
      </x:c>
      <x:c r="N47" s="15" t="str">
        <x:v>Paciente em acompanhamento ambulatorial por DM2. 64 anos, sexo M. Refere adesão parcial às medidas não farmacológicas. Exames recentes: HbA1c 7.8%, glicemia de jejum 158 mg/dL, creatinina 0.81 mg/dL. IMC 26.4 kg/m². Em uso de Metformina XR 1.000 mg à noite; Losartana 50 mg/dia; Atorvastatina 20 mg/noite. Nega hipoglicemias sintomáticas. Reforçadas orientações dietéticas e de atividade física.</x:v>
      </x:c>
      <x:c r="O47" s="15" t="str">
        <x:v>Elegível</x:v>
      </x:c>
      <x:c r="P47" s="15" t="str">
        <x:v>Critérios claramente atendidos</x:v>
      </x:c>
      <x:c r="Q47" s="15" t="str">
        <x:f>IF(AND(B47&gt;=30,B47&lt;=70,F47&gt;=7,F47&lt;=10.5,G47&lt;=1.5,I47&gt;=25,I47&lt;=45,OR(ISNUMBER(SEARCH("diabetes",D47)),ISNUMBER(SEARCH("DM",D47))),ISNUMBER(SEARCH("metformina",J47)),K47="Não",L47="Não"),"Elegível","Não elegível")</x:f>
        <x:v>Elegível</x:v>
      </x:c>
    </x:row>
    <x:row r="48" ht="54" customHeight="1">
      <x:c r="A48" s="15" t="str">
        <x:v>PAC-047</x:v>
      </x:c>
      <x:c r="B48" s="15" t="n">
        <x:v>46</x:v>
      </x:c>
      <x:c r="C48" s="15" t="str">
        <x:v>M</x:v>
      </x:c>
      <x:c r="D48" s="15" t="str">
        <x:v>Diabetes mellitus tipo 2</x:v>
      </x:c>
      <x:c r="E48" s="15" t="str">
        <x:v>Obesidade; Hipertensão arterial sistêmica</x:v>
      </x:c>
      <x:c r="F48" s="18" t="n">
        <x:v>7.4</x:v>
      </x:c>
      <x:c r="G48" s="20" t="n">
        <x:v>0.84</x:v>
      </x:c>
      <x:c r="H48" s="15" t="n">
        <x:v>145</x:v>
      </x:c>
      <x:c r="I48" s="18" t="n">
        <x:v>28.4</x:v>
      </x:c>
      <x:c r="J48" s="15" t="str">
        <x:v>Metformina 500 mg 2x/dia; Levotiroxina 75 mcg/dia</x:v>
      </x:c>
      <x:c r="K48" s="15" t="str">
        <x:v>Não</x:v>
      </x:c>
      <x:c r="L48" s="15" t="str">
        <x:v>Não</x:v>
      </x:c>
      <x:c r="M48" s="22" t="n">
        <x:v>46070</x:v>
      </x:c>
      <x:c r="N48" s="15" t="str">
        <x:v>Paciente em acompanhamento ambulatorial por DM2. 46 anos, sexo M. Refere adesão parcial às medidas não farmacológicas. Exames recentes: HbA1c 7.4%, glicemia de jejum 145 mg/dL, creatinina 0.84 mg/dL. IMC 28.4 kg/m². Em uso de Metformina 500 mg 2x/dia; Levotiroxina 75 mcg/dia. Nega hipoglicemias sintomáticas. Mantida terapêutica atual até reavaliação.</x:v>
      </x:c>
      <x:c r="O48" s="15" t="str">
        <x:v>Elegível</x:v>
      </x:c>
      <x:c r="P48" s="15" t="str">
        <x:v>Critérios claramente atendidos</x:v>
      </x:c>
      <x:c r="Q48" s="15" t="str">
        <x:f>IF(AND(B48&gt;=30,B48&lt;=70,F48&gt;=7,F48&lt;=10.5,G48&lt;=1.5,I48&gt;=25,I48&lt;=45,OR(ISNUMBER(SEARCH("diabetes",D48)),ISNUMBER(SEARCH("DM",D48))),ISNUMBER(SEARCH("metformina",J48)),K48="Não",L48="Não"),"Elegível","Não elegível")</x:f>
        <x:v>Elegível</x:v>
      </x:c>
    </x:row>
    <x:row r="49" ht="54" customHeight="1">
      <x:c r="A49" s="15" t="str">
        <x:v>PAC-048</x:v>
      </x:c>
      <x:c r="B49" s="15" t="n">
        <x:v>59</x:v>
      </x:c>
      <x:c r="C49" s="15" t="str">
        <x:v>M</x:v>
      </x:c>
      <x:c r="D49" s="15" t="str">
        <x:v>DM tipo II</x:v>
      </x:c>
      <x:c r="E49" s="15" t="str">
        <x:v>Hipotireoidismo</x:v>
      </x:c>
      <x:c r="F49" s="18" t="n">
        <x:v>9.7</x:v>
      </x:c>
      <x:c r="G49" s="20" t="n">
        <x:v>0.77</x:v>
      </x:c>
      <x:c r="H49" s="15" t="n">
        <x:v>182</x:v>
      </x:c>
      <x:c r="I49" s="18" t="n">
        <x:v>38.9</x:v>
      </x:c>
      <x:c r="J49" s="15" t="str">
        <x:v>Metformina 850 mg manhã e noite; Amlodipino 5 mg/dia</x:v>
      </x:c>
      <x:c r="K49" s="15" t="str">
        <x:v>Não</x:v>
      </x:c>
      <x:c r="L49" s="15" t="str">
        <x:v>Não</x:v>
      </x:c>
      <x:c r="M49" s="22" t="n">
        <x:v>46035</x:v>
      </x:c>
      <x:c r="N49" s="15" t="str">
        <x:v>Retorna para seguimento de diabetes mellitus tipo 2. 59 anos, sexo M. Refere uso regular das medicações. Exames recentes: HbA1c 9.7%, glicemia de jejum 182 mg/dL, creatinina 0.77 mg/dL. IMC 38.9 kg/m². Em uso de Metformina 850 mg manhã e noite; Amlodipino 5 mg/dia. Sem queixas agudas no momento. Orientada manutenção do seguimento e controle laboratorial.</x:v>
      </x:c>
      <x:c r="O49" s="15" t="str">
        <x:v>Elegível</x:v>
      </x:c>
      <x:c r="P49" s="15" t="str">
        <x:v>Critérios claramente atendidos</x:v>
      </x:c>
      <x:c r="Q49" s="15" t="str">
        <x:f>IF(AND(B49&gt;=30,B49&lt;=70,F49&gt;=7,F49&lt;=10.5,G49&lt;=1.5,I49&gt;=25,I49&lt;=45,OR(ISNUMBER(SEARCH("diabetes",D49)),ISNUMBER(SEARCH("DM",D49))),ISNUMBER(SEARCH("metformina",J49)),K49="Não",L49="Não"),"Elegível","Não elegível")</x:f>
        <x:v>Elegível</x:v>
      </x:c>
    </x:row>
    <x:row r="50" ht="54" customHeight="1">
      <x:c r="A50" s="15" t="str">
        <x:v>PAC-049</x:v>
      </x:c>
      <x:c r="B50" s="15" t="n">
        <x:v>42</x:v>
      </x:c>
      <x:c r="C50" s="15" t="str">
        <x:v>F</x:v>
      </x:c>
      <x:c r="D50" s="15" t="str">
        <x:v>DM tipo II</x:v>
      </x:c>
      <x:c r="E50" s="15" t="str">
        <x:v>Obesidade</x:v>
      </x:c>
      <x:c r="F50" s="18" t="n">
        <x:v>8</x:v>
      </x:c>
      <x:c r="G50" s="20" t="n">
        <x:v>0.97</x:v>
      </x:c>
      <x:c r="H50" s="15" t="n">
        <x:v>164</x:v>
      </x:c>
      <x:c r="I50" s="18" t="n">
        <x:v>37.9</x:v>
      </x:c>
      <x:c r="J50" s="15" t="str">
        <x:v>Metformina 1.000 mg 2x/dia</x:v>
      </x:c>
      <x:c r="K50" s="15" t="str">
        <x:v>Não</x:v>
      </x:c>
      <x:c r="L50" s="15" t="str">
        <x:v>Não</x:v>
      </x:c>
      <x:c r="M50" s="22" t="n">
        <x:v>46071</x:v>
      </x:c>
      <x:c r="N50" s="15" t="str">
        <x:v>Paciente com diagnóstico prévio de DM2, em seguimento regular. 42 anos, sexo F. Refere uso regular das medicações. Exames recentes: HbA1c 8.0%, glicemia de jejum 164 mg/dL, creatinina 0.97 mg/dL. IMC 37.9 kg/m². Em uso de Metformina 1.000 mg 2x/dia. Sem queixas agudas no momento. Reforçadas orientações dietéticas e de atividade física.</x:v>
      </x:c>
      <x:c r="O50" s="15" t="str">
        <x:v>Elegível</x:v>
      </x:c>
      <x:c r="P50" s="15" t="str">
        <x:v>Critérios claramente atendidos</x:v>
      </x:c>
      <x:c r="Q50" s="15" t="str">
        <x:f>IF(AND(B50&gt;=30,B50&lt;=70,F50&gt;=7,F50&lt;=10.5,G50&lt;=1.5,I50&gt;=25,I50&lt;=45,OR(ISNUMBER(SEARCH("diabetes",D50)),ISNUMBER(SEARCH("DM",D50))),ISNUMBER(SEARCH("metformina",J50)),K50="Não",L50="Não"),"Elegível","Não elegível")</x:f>
        <x:v>Elegível</x:v>
      </x:c>
    </x:row>
    <x:row r="51" ht="54" customHeight="1">
      <x:c r="A51" s="15" t="str">
        <x:v>PAC-050</x:v>
      </x:c>
      <x:c r="B51" s="15" t="n">
        <x:v>37</x:v>
      </x:c>
      <x:c r="C51" s="15" t="str">
        <x:v>F</x:v>
      </x:c>
      <x:c r="D51" s="15" t="str">
        <x:v>Diabetes mellitus tipo II</x:v>
      </x:c>
      <x:c r="E51" s="15" t="str">
        <x:v>Hipertensão arterial sistêmica; Dislipidemia</x:v>
      </x:c>
      <x:c r="F51" s="18" t="n">
        <x:v>8.8</x:v>
      </x:c>
      <x:c r="G51" s="20" t="n">
        <x:v>0.68</x:v>
      </x:c>
      <x:c r="H51" s="15" t="n">
        <x:v>186</x:v>
      </x:c>
      <x:c r="I51" s="18" t="n">
        <x:v>34.5</x:v>
      </x:c>
      <x:c r="J51" s="15" t="str">
        <x:v>Metformina 850 mg manhã e noite; Amlodipino 5 mg/dia</x:v>
      </x:c>
      <x:c r="K51" s="15" t="str">
        <x:v>Não</x:v>
      </x:c>
      <x:c r="L51" s="15" t="str">
        <x:v>Não</x:v>
      </x:c>
      <x:c r="M51" s="22" t="n">
        <x:v>46155</x:v>
      </x:c>
      <x:c r="N51" s="15" t="str">
        <x:v>Retorna para seguimento de diabetes mellitus tipo 2. 37 anos, sexo F. Refere adesão parcial às medidas não farmacológicas. Exames recentes: HbA1c 8.8%, glicemia de jejum 186 mg/dL, creatinina 0.68 mg/dL. IMC 34.5 kg/m². Em uso de Metformina 850 mg manhã e noite; Amlodipino 5 mg/dia. Sem queixas agudas no momento. Reforçadas orientações dietéticas e de atividade física.</x:v>
      </x:c>
      <x:c r="O51" s="15" t="str">
        <x:v>Elegível</x:v>
      </x:c>
      <x:c r="P51" s="15" t="str">
        <x:v>Critérios claramente atendidos</x:v>
      </x:c>
      <x:c r="Q51" s="15" t="str">
        <x:f>IF(AND(B51&gt;=30,B51&lt;=70,F51&gt;=7,F51&lt;=10.5,G51&lt;=1.5,I51&gt;=25,I51&lt;=45,OR(ISNUMBER(SEARCH("diabetes",D51)),ISNUMBER(SEARCH("DM",D51))),ISNUMBER(SEARCH("metformina",J51)),K51="Não",L51="Não"),"Elegível","Não elegível")</x:f>
        <x:v>Elegível</x:v>
      </x:c>
    </x:row>
    <x:row r="52" ht="54" customHeight="1">
      <x:c r="A52" s="15" t="str">
        <x:v>PAC-051</x:v>
      </x:c>
      <x:c r="B52" s="15" t="n">
        <x:v>48</x:v>
      </x:c>
      <x:c r="C52" s="15" t="str">
        <x:v>M</x:v>
      </x:c>
      <x:c r="D52" s="15" t="str">
        <x:v>DM2</x:v>
      </x:c>
      <x:c r="E52" s="15" t="str">
        <x:v>Doença do refluxo gastroesofágico</x:v>
      </x:c>
      <x:c r="F52" s="18" t="n">
        <x:v>10.1</x:v>
      </x:c>
      <x:c r="G52" s="20" t="n">
        <x:v>1.3</x:v>
      </x:c>
      <x:c r="H52" s="15" t="n">
        <x:v>173</x:v>
      </x:c>
      <x:c r="I52" s="18" t="n">
        <x:v>26.4</x:v>
      </x:c>
      <x:c r="J52" s="15" t="str">
        <x:v>Metformina 1.000 mg 2x/dia; Atorvastatina 20 mg à noite</x:v>
      </x:c>
      <x:c r="K52" s="15" t="str">
        <x:v>Não</x:v>
      </x:c>
      <x:c r="L52" s="15" t="str">
        <x:v>Não</x:v>
      </x:c>
      <x:c r="M52" s="22" t="n">
        <x:v>46046</x:v>
      </x:c>
      <x:c r="N52" s="15" t="str">
        <x:v>Paciente com diagnóstico prévio de DM2, em seguimento regular. 48 anos, sexo M. Nega interrupção recente das medicações. Exames recentes: HbA1c 10.1%, glicemia de jejum 173 mg/dL, creatinina 1.30 mg/dL. IMC 26.4 kg/m². Em uso de Metformina 1.000 mg 2x/dia; Atorvastatina 20 mg à noite. Sem queixas agudas no momento. Programado retorno com novos exames laboratoriais.</x:v>
      </x:c>
      <x:c r="O52" s="15" t="str">
        <x:v>Elegível</x:v>
      </x:c>
      <x:c r="P52" s="15" t="str">
        <x:v>Critérios claramente atendidos</x:v>
      </x:c>
      <x:c r="Q52" s="15" t="str">
        <x:f>IF(AND(B52&gt;=30,B52&lt;=70,F52&gt;=7,F52&lt;=10.5,G52&lt;=1.5,I52&gt;=25,I52&lt;=45,OR(ISNUMBER(SEARCH("diabetes",D52)),ISNUMBER(SEARCH("DM",D52))),ISNUMBER(SEARCH("metformina",J52)),K52="Não",L52="Não"),"Elegível","Não elegível")</x:f>
        <x:v>Elegível</x:v>
      </x:c>
    </x:row>
    <x:row r="53" ht="54" customHeight="1">
      <x:c r="A53" s="15" t="str">
        <x:v>PAC-052</x:v>
      </x:c>
      <x:c r="B53" s="15" t="n">
        <x:v>41</x:v>
      </x:c>
      <x:c r="C53" s="15" t="str">
        <x:v>M</x:v>
      </x:c>
      <x:c r="D53" s="15" t="str">
        <x:v>Diabetes tipo 2</x:v>
      </x:c>
      <x:c r="E53" s="15" t="str">
        <x:v>Esteatose hepática</x:v>
      </x:c>
      <x:c r="F53" s="18" t="n">
        <x:v>8.2</x:v>
      </x:c>
      <x:c r="G53" s="20" t="n">
        <x:v>0.86</x:v>
      </x:c>
      <x:c r="H53" s="15" t="n">
        <x:v>155</x:v>
      </x:c>
      <x:c r="I53" s="18" t="n">
        <x:v>28.1</x:v>
      </x:c>
      <x:c r="J53" s="15" t="str">
        <x:v>Metformina 850 mg 2x/dia</x:v>
      </x:c>
      <x:c r="K53" s="15" t="str">
        <x:v>Não</x:v>
      </x:c>
      <x:c r="L53" s="15" t="str">
        <x:v>Não</x:v>
      </x:c>
      <x:c r="M53" s="22" t="n">
        <x:v>46112</x:v>
      </x:c>
      <x:c r="N53" s="15" t="str">
        <x:v>Paciente com diagnóstico prévio de DM2, em seguimento regular. 41 anos, sexo M. Nega interrupção recente das medicações. Exames recentes: HbA1c 8.2%, glicemia de jejum 155 mg/dL, creatinina 0.86 mg/dL. IMC 28.1 kg/m². Em uso de Metformina 850 mg 2x/dia. Nega hipoglicemias sintomáticas. Programado retorno com novos exames laboratoriais.</x:v>
      </x:c>
      <x:c r="O53" s="15" t="str">
        <x:v>Elegível</x:v>
      </x:c>
      <x:c r="P53" s="15" t="str">
        <x:v>Critérios claramente atendidos</x:v>
      </x:c>
      <x:c r="Q53" s="15" t="str">
        <x:f>IF(AND(B53&gt;=30,B53&lt;=70,F53&gt;=7,F53&lt;=10.5,G53&lt;=1.5,I53&gt;=25,I53&lt;=45,OR(ISNUMBER(SEARCH("diabetes",D53)),ISNUMBER(SEARCH("DM",D53))),ISNUMBER(SEARCH("metformina",J53)),K53="Não",L53="Não"),"Elegível","Não elegível")</x:f>
        <x:v>Elegível</x:v>
      </x:c>
    </x:row>
    <x:row r="54" ht="54" customHeight="1">
      <x:c r="A54" s="15" t="str">
        <x:v>PAC-053</x:v>
      </x:c>
      <x:c r="B54" s="15" t="n">
        <x:v>42</x:v>
      </x:c>
      <x:c r="C54" s="15" t="str">
        <x:v>M</x:v>
      </x:c>
      <x:c r="D54" s="15" t="str">
        <x:v>Diabetes mellitus tipo 2</x:v>
      </x:c>
      <x:c r="E54" s="15" t="str">
        <x:v>Sem comorbidades relevantes</x:v>
      </x:c>
      <x:c r="F54" s="18" t="n">
        <x:v>8.6</x:v>
      </x:c>
      <x:c r="G54" s="20" t="n">
        <x:v>0.78</x:v>
      </x:c>
      <x:c r="H54" s="15" t="n">
        <x:v>189</x:v>
      </x:c>
      <x:c r="I54" s="18" t="n">
        <x:v>26.4</x:v>
      </x:c>
      <x:c r="J54" s="15" t="str">
        <x:v>Metformina 1.000 mg 2x/dia; Losartana 50 mg 2x/dia</x:v>
      </x:c>
      <x:c r="K54" s="15" t="str">
        <x:v>Não</x:v>
      </x:c>
      <x:c r="L54" s="15" t="str">
        <x:v>Não</x:v>
      </x:c>
      <x:c r="M54" s="22" t="n">
        <x:v>46042</x:v>
      </x:c>
      <x:c r="N54" s="15" t="str">
        <x:v>Retorna para seguimento de diabetes mellitus tipo 2. 42 anos, sexo M. Relata boa adesão ao tratamento prescrito. Exames recentes: HbA1c 8.6%, glicemia de jejum 189 mg/dL, creatinina 0.78 mg/dL. IMC 26.4 kg/m². Em uso de Metformina 1.000 mg 2x/dia; Losartana 50 mg 2x/dia. Nega poliúria, polidipsia ou perda ponderal recente. Reforçadas orientações dietéticas e de atividade física.</x:v>
      </x:c>
      <x:c r="O54" s="15" t="str">
        <x:v>Elegível</x:v>
      </x:c>
      <x:c r="P54" s="15" t="str">
        <x:v>Critérios claramente atendidos</x:v>
      </x:c>
      <x:c r="Q54" s="15" t="str">
        <x:f>IF(AND(B54&gt;=30,B54&lt;=70,F54&gt;=7,F54&lt;=10.5,G54&lt;=1.5,I54&gt;=25,I54&lt;=45,OR(ISNUMBER(SEARCH("diabetes",D54)),ISNUMBER(SEARCH("DM",D54))),ISNUMBER(SEARCH("metformina",J54)),K54="Não",L54="Não"),"Elegível","Não elegível")</x:f>
        <x:v>Elegível</x:v>
      </x:c>
    </x:row>
    <x:row r="55" ht="54" customHeight="1">
      <x:c r="A55" s="15" t="str">
        <x:v>PAC-054</x:v>
      </x:c>
      <x:c r="B55" s="15" t="n">
        <x:v>47</x:v>
      </x:c>
      <x:c r="C55" s="15" t="str">
        <x:v>M</x:v>
      </x:c>
      <x:c r="D55" s="15" t="str">
        <x:v>Diabetes mellitus tipo 2</x:v>
      </x:c>
      <x:c r="E55" s="15" t="str">
        <x:v>Osteoartrite de joelhos</x:v>
      </x:c>
      <x:c r="F55" s="18" t="n">
        <x:v>7.9</x:v>
      </x:c>
      <x:c r="G55" s="20" t="n">
        <x:v>1.33</x:v>
      </x:c>
      <x:c r="H55" s="15" t="n">
        <x:v>160</x:v>
      </x:c>
      <x:c r="I55" s="18" t="n">
        <x:v>34.6</x:v>
      </x:c>
      <x:c r="J55" s="15" t="str">
        <x:v>Metformina XR 500 mg 2x/dia; Levotiroxina 75 mcg/dia</x:v>
      </x:c>
      <x:c r="K55" s="15" t="str">
        <x:v>Não</x:v>
      </x:c>
      <x:c r="L55" s="15" t="str">
        <x:v>Não</x:v>
      </x:c>
      <x:c r="M55" s="22" t="n">
        <x:v>46206</x:v>
      </x:c>
      <x:c r="N55" s="15" t="str">
        <x:v>Reavaliação clínica de paciente com diabetes tipo 2. 47 anos, sexo M. Informa uso irregular da dieta, porém mantém as medicações. Exames recentes: HbA1c 7.9%, glicemia de jejum 160 mg/dL, creatinina 1.33 mg/dL. IMC 34.6 kg/m². Em uso de Metformina XR 500 mg 2x/dia; Levotiroxina 75 mcg/dia. Nega poliúria, polidipsia ou perda ponderal recente. Mantida terapêutica atual até reavaliação.</x:v>
      </x:c>
      <x:c r="O55" s="15" t="str">
        <x:v>Elegível</x:v>
      </x:c>
      <x:c r="P55" s="15" t="str">
        <x:v>Critérios claramente atendidos</x:v>
      </x:c>
      <x:c r="Q55" s="15" t="str">
        <x:f>IF(AND(B55&gt;=30,B55&lt;=70,F55&gt;=7,F55&lt;=10.5,G55&lt;=1.5,I55&gt;=25,I55&lt;=45,OR(ISNUMBER(SEARCH("diabetes",D55)),ISNUMBER(SEARCH("DM",D55))),ISNUMBER(SEARCH("metformina",J55)),K55="Não",L55="Não"),"Elegível","Não elegível")</x:f>
        <x:v>Elegível</x:v>
      </x:c>
    </x:row>
    <x:row r="56" ht="54" customHeight="1">
      <x:c r="A56" s="15" t="str">
        <x:v>PAC-055</x:v>
      </x:c>
      <x:c r="B56" s="15" t="n">
        <x:v>49</x:v>
      </x:c>
      <x:c r="C56" s="15" t="str">
        <x:v>F</x:v>
      </x:c>
      <x:c r="D56" s="15" t="str">
        <x:v>DM tipo II</x:v>
      </x:c>
      <x:c r="E56" s="15" t="str">
        <x:v>Esteatose hepática</x:v>
      </x:c>
      <x:c r="F56" s="18" t="n">
        <x:v>7.8</x:v>
      </x:c>
      <x:c r="G56" s="20" t="n">
        <x:v>1.18</x:v>
      </x:c>
      <x:c r="H56" s="15" t="n">
        <x:v>153</x:v>
      </x:c>
      <x:c r="I56" s="18" t="n">
        <x:v>30.5</x:v>
      </x:c>
      <x:c r="J56" s="15" t="str">
        <x:v>Metformina 850 mg 2x/dia</x:v>
      </x:c>
      <x:c r="K56" s="15" t="str">
        <x:v>Não</x:v>
      </x:c>
      <x:c r="L56" s="15" t="str">
        <x:v>Não</x:v>
      </x:c>
      <x:c r="M56" s="22" t="n">
        <x:v>46049</x:v>
      </x:c>
      <x:c r="N56" s="15" t="str">
        <x:v>Retorna para seguimento de diabetes mellitus tipo 2. 49 anos, sexo F. Relata boa adesão ao tratamento prescrito. Exames recentes: HbA1c 7.8%, glicemia de jejum 153 mg/dL, creatinina 1.18 mg/dL. IMC 30.5 kg/m². Em uso de Metformina 850 mg 2x/dia. Sem sintomas sugestivos de descompensação aguda. Reforçadas orientações dietéticas e de atividade física.</x:v>
      </x:c>
      <x:c r="O56" s="15" t="str">
        <x:v>Elegível</x:v>
      </x:c>
      <x:c r="P56" s="15" t="str">
        <x:v>Critérios claramente atendidos</x:v>
      </x:c>
      <x:c r="Q56" s="15" t="str">
        <x:f>IF(AND(B56&gt;=30,B56&lt;=70,F56&gt;=7,F56&lt;=10.5,G56&lt;=1.5,I56&gt;=25,I56&lt;=45,OR(ISNUMBER(SEARCH("diabetes",D56)),ISNUMBER(SEARCH("DM",D56))),ISNUMBER(SEARCH("metformina",J56)),K56="Não",L56="Não"),"Elegível","Não elegível")</x:f>
        <x:v>Elegível</x:v>
      </x:c>
    </x:row>
    <x:row r="57" ht="54" customHeight="1">
      <x:c r="A57" s="15" t="str">
        <x:v>PAC-056</x:v>
      </x:c>
      <x:c r="B57" s="15" t="n">
        <x:v>42</x:v>
      </x:c>
      <x:c r="C57" s="15" t="str">
        <x:v>M</x:v>
      </x:c>
      <x:c r="D57" s="15" t="str">
        <x:v>Diabetes tipo 2</x:v>
      </x:c>
      <x:c r="E57" s="15" t="str">
        <x:v>Doença do refluxo gastroesofágico</x:v>
      </x:c>
      <x:c r="F57" s="18" t="n">
        <x:v>9.3</x:v>
      </x:c>
      <x:c r="G57" s="20" t="n">
        <x:v>1.17</x:v>
      </x:c>
      <x:c r="H57" s="15" t="n">
        <x:v>181</x:v>
      </x:c>
      <x:c r="I57" s="18" t="n">
        <x:v>31.3</x:v>
      </x:c>
      <x:c r="J57" s="15" t="str">
        <x:v>Metformina 850 mg manhã e noite; Sinvastatina 20 mg à noite</x:v>
      </x:c>
      <x:c r="K57" s="15" t="str">
        <x:v>Não</x:v>
      </x:c>
      <x:c r="L57" s="15" t="str">
        <x:v>Não</x:v>
      </x:c>
      <x:c r="M57" s="22" t="n">
        <x:v>46151</x:v>
      </x:c>
      <x:c r="N57" s="15" t="str">
        <x:v>Em consulta de rotina para controle metabólico. 42 anos, sexo M. Nega interrupção recente das medicações. Exames recentes: HbA1c 9.3%, glicemia de jejum 181 mg/dL, creatinina 1.17 mg/dL. IMC 31.3 kg/m². Em uso de Metformina 850 mg manhã e noite; Sinvastatina 20 mg à noite. Sem sintomas sugestivos de descompensação aguda. Mantido acompanhamento e reforçadas medidas de estilo de vida.</x:v>
      </x:c>
      <x:c r="O57" s="15" t="str">
        <x:v>Elegível</x:v>
      </x:c>
      <x:c r="P57" s="15" t="str">
        <x:v>Critérios claramente atendidos</x:v>
      </x:c>
      <x:c r="Q57" s="15" t="str">
        <x:f>IF(AND(B57&gt;=30,B57&lt;=70,F57&gt;=7,F57&lt;=10.5,G57&lt;=1.5,I57&gt;=25,I57&lt;=45,OR(ISNUMBER(SEARCH("diabetes",D57)),ISNUMBER(SEARCH("DM",D57))),ISNUMBER(SEARCH("metformina",J57)),K57="Não",L57="Não"),"Elegível","Não elegível")</x:f>
        <x:v>Elegível</x:v>
      </x:c>
    </x:row>
    <x:row r="58" ht="54" customHeight="1">
      <x:c r="A58" s="15" t="str">
        <x:v>PAC-057</x:v>
      </x:c>
      <x:c r="B58" s="15" t="n">
        <x:v>64</x:v>
      </x:c>
      <x:c r="C58" s="15" t="str">
        <x:v>M</x:v>
      </x:c>
      <x:c r="D58" s="15" t="str">
        <x:v>DM tipo II</x:v>
      </x:c>
      <x:c r="E58" s="15" t="str">
        <x:v>Osteoartrite de joelhos</x:v>
      </x:c>
      <x:c r="F58" s="18" t="n">
        <x:v>8</x:v>
      </x:c>
      <x:c r="G58" s="20" t="n">
        <x:v>0.96</x:v>
      </x:c>
      <x:c r="H58" s="15" t="n">
        <x:v>183</x:v>
      </x:c>
      <x:c r="I58" s="18" t="n">
        <x:v>39.5</x:v>
      </x:c>
      <x:c r="J58" s="15" t="str">
        <x:v>Metformina 1.000 mg 2x/dia; Sinvastatina 20 mg à noite</x:v>
      </x:c>
      <x:c r="K58" s="15" t="str">
        <x:v>Não</x:v>
      </x:c>
      <x:c r="L58" s="15" t="str">
        <x:v>Não</x:v>
      </x:c>
      <x:c r="M58" s="22" t="n">
        <x:v>46129</x:v>
      </x:c>
      <x:c r="N58" s="15" t="str">
        <x:v>Em consulta de rotina para controle metabólico. 64 anos, sexo M. Nega interrupção recente das medicações. Exames recentes: HbA1c 8.0%, glicemia de jejum 183 mg/dL, creatinina 0.96 mg/dL. IMC 39.5 kg/m². Em uso de Metformina 1.000 mg 2x/dia; Sinvastatina 20 mg à noite. Clinicamente estável, sem intercorrências recentes. Orientada manutenção do seguimento e controle laboratorial.</x:v>
      </x:c>
      <x:c r="O58" s="15" t="str">
        <x:v>Elegível</x:v>
      </x:c>
      <x:c r="P58" s="15" t="str">
        <x:v>Critérios claramente atendidos</x:v>
      </x:c>
      <x:c r="Q58" s="15" t="str">
        <x:f>IF(AND(B58&gt;=30,B58&lt;=70,F58&gt;=7,F58&lt;=10.5,G58&lt;=1.5,I58&gt;=25,I58&lt;=45,OR(ISNUMBER(SEARCH("diabetes",D58)),ISNUMBER(SEARCH("DM",D58))),ISNUMBER(SEARCH("metformina",J58)),K58="Não",L58="Não"),"Elegível","Não elegível")</x:f>
        <x:v>Elegível</x:v>
      </x:c>
    </x:row>
    <x:row r="59" ht="54" customHeight="1">
      <x:c r="A59" s="15" t="str">
        <x:v>PAC-058</x:v>
      </x:c>
      <x:c r="B59" s="15" t="n">
        <x:v>60</x:v>
      </x:c>
      <x:c r="C59" s="15" t="str">
        <x:v>M</x:v>
      </x:c>
      <x:c r="D59" s="15" t="str">
        <x:v>Diabetes mellitus tipo 2</x:v>
      </x:c>
      <x:c r="E59" s="15" t="str">
        <x:v>Dislipidemia</x:v>
      </x:c>
      <x:c r="F59" s="18" t="n">
        <x:v>9.6</x:v>
      </x:c>
      <x:c r="G59" s="20" t="n">
        <x:v>0.93</x:v>
      </x:c>
      <x:c r="H59" s="15" t="n">
        <x:v>192</x:v>
      </x:c>
      <x:c r="I59" s="18" t="n">
        <x:v>41.3</x:v>
      </x:c>
      <x:c r="J59" s="15" t="str">
        <x:v>Metformina 850 mg 2x/dia; Amlodipino 5 mg/dia</x:v>
      </x:c>
      <x:c r="K59" s="15" t="str">
        <x:v>Não</x:v>
      </x:c>
      <x:c r="L59" s="15" t="str">
        <x:v>Não</x:v>
      </x:c>
      <x:c r="M59" s="22" t="n">
        <x:v>46247</x:v>
      </x:c>
      <x:c r="N59" s="15" t="str">
        <x:v>Paciente em acompanhamento ambulatorial por DM2. 60 anos, sexo M. Relata boa adesão ao tratamento prescrito. Exames recentes: HbA1c 9.6%, glicemia de jejum 192 mg/dL, creatinina 0.93 mg/dL. IMC 41.3 kg/m². Em uso de Metformina 850 mg 2x/dia; Amlodipino 5 mg/dia. Clinicamente estável, sem intercorrências recentes. Programado retorno com novos exames laboratoriais.</x:v>
      </x:c>
      <x:c r="O59" s="15" t="str">
        <x:v>Elegível</x:v>
      </x:c>
      <x:c r="P59" s="15" t="str">
        <x:v>Critérios claramente atendidos</x:v>
      </x:c>
      <x:c r="Q59" s="15" t="str">
        <x:f>IF(AND(B59&gt;=30,B59&lt;=70,F59&gt;=7,F59&lt;=10.5,G59&lt;=1.5,I59&gt;=25,I59&lt;=45,OR(ISNUMBER(SEARCH("diabetes",D59)),ISNUMBER(SEARCH("DM",D59))),ISNUMBER(SEARCH("metformina",J59)),K59="Não",L59="Não"),"Elegível","Não elegível")</x:f>
        <x:v>Elegível</x:v>
      </x:c>
    </x:row>
    <x:row r="60" ht="54" customHeight="1">
      <x:c r="A60" s="15" t="str">
        <x:v>PAC-059</x:v>
      </x:c>
      <x:c r="B60" s="15" t="n">
        <x:v>44</x:v>
      </x:c>
      <x:c r="C60" s="15" t="str">
        <x:v>F</x:v>
      </x:c>
      <x:c r="D60" s="15" t="str">
        <x:v>DM tipo II</x:v>
      </x:c>
      <x:c r="E60" s="15" t="str">
        <x:v>Hipotireoidismo</x:v>
      </x:c>
      <x:c r="F60" s="18" t="n">
        <x:v>7.6</x:v>
      </x:c>
      <x:c r="G60" s="20" t="n">
        <x:v>1.21</x:v>
      </x:c>
      <x:c r="H60" s="15" t="n">
        <x:v>176</x:v>
      </x:c>
      <x:c r="I60" s="18" t="n">
        <x:v>31.7</x:v>
      </x:c>
      <x:c r="J60" s="15" t="str">
        <x:v>Metformina 850 mg 2x/dia; Sinvastatina 20 mg à noite</x:v>
      </x:c>
      <x:c r="K60" s="15" t="str">
        <x:v>Não</x:v>
      </x:c>
      <x:c r="L60" s="15" t="str">
        <x:v>Não</x:v>
      </x:c>
      <x:c r="M60" s="22" t="n">
        <x:v>46132</x:v>
      </x:c>
      <x:c r="N60" s="15" t="str">
        <x:v>Retorna para seguimento de diabetes mellitus tipo 2. 44 anos, sexo F. Relata boa adesão ao tratamento prescrito. Exames recentes: HbA1c 7.6%, glicemia de jejum 176 mg/dL, creatinina 1.21 mg/dL. IMC 31.7 kg/m². Em uso de Metformina 850 mg 2x/dia; Sinvastatina 20 mg à noite. Clinicamente estável, sem intercorrências recentes. Programado retorno com novos exames laboratoriais.</x:v>
      </x:c>
      <x:c r="O60" s="15" t="str">
        <x:v>Elegível</x:v>
      </x:c>
      <x:c r="P60" s="15" t="str">
        <x:v>Critérios claramente atendidos</x:v>
      </x:c>
      <x:c r="Q60" s="15" t="str">
        <x:f>IF(AND(B60&gt;=30,B60&lt;=70,F60&gt;=7,F60&lt;=10.5,G60&lt;=1.5,I60&gt;=25,I60&lt;=45,OR(ISNUMBER(SEARCH("diabetes",D60)),ISNUMBER(SEARCH("DM",D60))),ISNUMBER(SEARCH("metformina",J60)),K60="Não",L60="Não"),"Elegível","Não elegível")</x:f>
        <x:v>Elegível</x:v>
      </x:c>
    </x:row>
    <x:row r="61" ht="54" customHeight="1">
      <x:c r="A61" s="15" t="str">
        <x:v>PAC-060</x:v>
      </x:c>
      <x:c r="B61" s="15" t="n">
        <x:v>47</x:v>
      </x:c>
      <x:c r="C61" s="15" t="str">
        <x:v>F</x:v>
      </x:c>
      <x:c r="D61" s="15" t="str">
        <x:v>Diabetes mellitus tipo 2</x:v>
      </x:c>
      <x:c r="E61" s="15" t="str">
        <x:v>Sem comorbidades relevantes</x:v>
      </x:c>
      <x:c r="F61" s="18" t="n">
        <x:v>8.1</x:v>
      </x:c>
      <x:c r="G61" s="20" t="n">
        <x:v>0.89</x:v>
      </x:c>
      <x:c r="H61" s="15" t="n">
        <x:v>153</x:v>
      </x:c>
      <x:c r="I61" s="18" t="n">
        <x:v>36.8</x:v>
      </x:c>
      <x:c r="J61" s="15" t="str">
        <x:v>Metformina XR 1.000 mg à noite</x:v>
      </x:c>
      <x:c r="K61" s="15" t="str">
        <x:v>Não</x:v>
      </x:c>
      <x:c r="L61" s="15" t="str">
        <x:v>Não</x:v>
      </x:c>
      <x:c r="M61" s="22" t="n">
        <x:v>46102</x:v>
      </x:c>
      <x:c r="N61" s="15" t="str">
        <x:v>Paciente em acompanhamento ambulatorial por DM2. 47 anos, sexo F. Refere uso regular das medicações. Exames recentes: HbA1c 8.1%, glicemia de jejum 153 mg/dL, creatinina 0.89 mg/dL. IMC 36.8 kg/m². Em uso de Metformina XR 1.000 mg à noite. Nega hipoglicemias sintomáticas. Orientada manutenção do seguimento e controle laboratorial.</x:v>
      </x:c>
      <x:c r="O61" s="15" t="str">
        <x:v>Elegível</x:v>
      </x:c>
      <x:c r="P61" s="15" t="str">
        <x:v>Critérios claramente atendidos</x:v>
      </x:c>
      <x:c r="Q61" s="15" t="str">
        <x:f>IF(AND(B61&gt;=30,B61&lt;=70,F61&gt;=7,F61&lt;=10.5,G61&lt;=1.5,I61&gt;=25,I61&lt;=45,OR(ISNUMBER(SEARCH("diabetes",D61)),ISNUMBER(SEARCH("DM",D61))),ISNUMBER(SEARCH("metformina",J61)),K61="Não",L61="Não"),"Elegível","Não elegível")</x:f>
        <x:v>Elegível</x:v>
      </x:c>
    </x:row>
    <x:row r="62" ht="54" customHeight="1">
      <x:c r="A62" s="15" t="str">
        <x:v>PAC-061</x:v>
      </x:c>
      <x:c r="B62" s="15" t="n">
        <x:v>56</x:v>
      </x:c>
      <x:c r="C62" s="15" t="str">
        <x:v>F</x:v>
      </x:c>
      <x:c r="D62" s="15" t="str">
        <x:v>DM tipo II</x:v>
      </x:c>
      <x:c r="E62" s="15" t="str">
        <x:v>Esteatose hepática</x:v>
      </x:c>
      <x:c r="F62" s="18" t="n">
        <x:v>7.6</x:v>
      </x:c>
      <x:c r="G62" s="20" t="n">
        <x:v>0.66</x:v>
      </x:c>
      <x:c r="H62" s="15" t="n">
        <x:v>172</x:v>
      </x:c>
      <x:c r="I62" s="18" t="n">
        <x:v>35.7</x:v>
      </x:c>
      <x:c r="J62" s="15" t="str">
        <x:v>Metformina 500 mg 2x/dia; Sinvastatina 20 mg à noite</x:v>
      </x:c>
      <x:c r="K62" s="15" t="str">
        <x:v>Não</x:v>
      </x:c>
      <x:c r="L62" s="15" t="str">
        <x:v>Não</x:v>
      </x:c>
      <x:c r="M62" s="22" t="n">
        <x:v>46055</x:v>
      </x:c>
      <x:c r="N62" s="15" t="str">
        <x:v>Paciente em acompanhamento ambulatorial por DM2. 56 anos, sexo F. Informa uso irregular da dieta, porém mantém as medicações. Exames recentes: HbA1c 7.6%, glicemia de jejum 172 mg/dL, creatinina 0.66 mg/dL. IMC 35.7 kg/m². Em uso de Metformina 500 mg 2x/dia; Sinvastatina 20 mg à noite. Sem sintomas sugestivos de descompensação aguda. Mantida terapêutica atual até reavaliação.</x:v>
      </x:c>
      <x:c r="O62" s="15" t="str">
        <x:v>Elegível</x:v>
      </x:c>
      <x:c r="P62" s="15" t="str">
        <x:v>Critérios claramente atendidos</x:v>
      </x:c>
      <x:c r="Q62" s="15" t="str">
        <x:f>IF(AND(B62&gt;=30,B62&lt;=70,F62&gt;=7,F62&lt;=10.5,G62&lt;=1.5,I62&gt;=25,I62&lt;=45,OR(ISNUMBER(SEARCH("diabetes",D62)),ISNUMBER(SEARCH("DM",D62))),ISNUMBER(SEARCH("metformina",J62)),K62="Não",L62="Não"),"Elegível","Não elegível")</x:f>
        <x:v>Elegível</x:v>
      </x:c>
    </x:row>
    <x:row r="63" ht="54" customHeight="1">
      <x:c r="A63" s="15" t="str">
        <x:v>PAC-062</x:v>
      </x:c>
      <x:c r="B63" s="15" t="n">
        <x:v>61</x:v>
      </x:c>
      <x:c r="C63" s="15" t="str">
        <x:v>F</x:v>
      </x:c>
      <x:c r="D63" s="15" t="str">
        <x:v>Diabetes mellitus tipo 2</x:v>
      </x:c>
      <x:c r="E63" s="15" t="str">
        <x:v>Dislipidemia</x:v>
      </x:c>
      <x:c r="F63" s="18" t="n">
        <x:v>7.9</x:v>
      </x:c>
      <x:c r="G63" s="20" t="n">
        <x:v>0.76</x:v>
      </x:c>
      <x:c r="H63" s="15" t="n">
        <x:v>154</x:v>
      </x:c>
      <x:c r="I63" s="18" t="n">
        <x:v>34.3</x:v>
      </x:c>
      <x:c r="J63" s="15" t="str">
        <x:v>Metformina XR 500 mg 2x/dia; Sinvastatina 20 mg à noite</x:v>
      </x:c>
      <x:c r="K63" s="15" t="str">
        <x:v>Não</x:v>
      </x:c>
      <x:c r="L63" s="15" t="str">
        <x:v>Não</x:v>
      </x:c>
      <x:c r="M63" s="22" t="n">
        <x:v>46166</x:v>
      </x:c>
      <x:c r="N63" s="15" t="str">
        <x:v>Reavaliação clínica de paciente com diabetes tipo 2. 61 anos, sexo F. Refere adesão parcial às medidas não farmacológicas. Exames recentes: HbA1c 7.9%, glicemia de jejum 154 mg/dL, creatinina 0.76 mg/dL. IMC 34.3 kg/m². Em uso de Metformina XR 500 mg 2x/dia; Sinvastatina 20 mg à noite. Sem queixas agudas no momento. Orientada manutenção do seguimento e controle laboratorial.</x:v>
      </x:c>
      <x:c r="O63" s="15" t="str">
        <x:v>Elegível</x:v>
      </x:c>
      <x:c r="P63" s="15" t="str">
        <x:v>Critérios claramente atendidos</x:v>
      </x:c>
      <x:c r="Q63" s="15" t="str">
        <x:f>IF(AND(B63&gt;=30,B63&lt;=70,F63&gt;=7,F63&lt;=10.5,G63&lt;=1.5,I63&gt;=25,I63&lt;=45,OR(ISNUMBER(SEARCH("diabetes",D63)),ISNUMBER(SEARCH("DM",D63))),ISNUMBER(SEARCH("metformina",J63)),K63="Não",L63="Não"),"Elegível","Não elegível")</x:f>
        <x:v>Elegível</x:v>
      </x:c>
    </x:row>
    <x:row r="64" ht="54" customHeight="1">
      <x:c r="A64" s="15" t="str">
        <x:v>PAC-063</x:v>
      </x:c>
      <x:c r="B64" s="15" t="n">
        <x:v>58</x:v>
      </x:c>
      <x:c r="C64" s="15" t="str">
        <x:v>M</x:v>
      </x:c>
      <x:c r="D64" s="15" t="str">
        <x:v>Diabetes tipo 2</x:v>
      </x:c>
      <x:c r="E64" s="15" t="str">
        <x:v>Obesidade; Hipertensão arterial sistêmica</x:v>
      </x:c>
      <x:c r="F64" s="18" t="n">
        <x:v>8.5</x:v>
      </x:c>
      <x:c r="G64" s="20" t="n">
        <x:v>1.21</x:v>
      </x:c>
      <x:c r="H64" s="15" t="n">
        <x:v>174</x:v>
      </x:c>
      <x:c r="I64" s="18" t="n">
        <x:v>37.2</x:v>
      </x:c>
      <x:c r="J64" s="15" t="str">
        <x:v>Metformina 850 mg manhã e noite; Levotiroxina 75 mcg/dia</x:v>
      </x:c>
      <x:c r="K64" s="15" t="str">
        <x:v>Não</x:v>
      </x:c>
      <x:c r="L64" s="15" t="str">
        <x:v>Não</x:v>
      </x:c>
      <x:c r="M64" s="22" t="n">
        <x:v>46114</x:v>
      </x:c>
      <x:c r="N64" s="15" t="str">
        <x:v>Reavaliação clínica de paciente com diabetes tipo 2. 58 anos, sexo M. Informa uso irregular da dieta, porém mantém as medicações. Exames recentes: HbA1c 8.5%, glicemia de jejum 174 mg/dL, creatinina 1.21 mg/dL. IMC 37.2 kg/m². Em uso de Metformina 850 mg manhã e noite; Levotiroxina 75 mcg/dia. Sem queixas agudas no momento. Mantido acompanhamento e reforçadas medidas de estilo de vida.</x:v>
      </x:c>
      <x:c r="O64" s="15" t="str">
        <x:v>Elegível</x:v>
      </x:c>
      <x:c r="P64" s="15" t="str">
        <x:v>Critérios claramente atendidos</x:v>
      </x:c>
      <x:c r="Q64" s="15" t="str">
        <x:f>IF(AND(B64&gt;=30,B64&lt;=70,F64&gt;=7,F64&lt;=10.5,G64&lt;=1.5,I64&gt;=25,I64&lt;=45,OR(ISNUMBER(SEARCH("diabetes",D64)),ISNUMBER(SEARCH("DM",D64))),ISNUMBER(SEARCH("metformina",J64)),K64="Não",L64="Não"),"Elegível","Não elegível")</x:f>
        <x:v>Elegível</x:v>
      </x:c>
    </x:row>
    <x:row r="65" ht="54" customHeight="1">
      <x:c r="A65" s="15" t="str">
        <x:v>PAC-064</x:v>
      </x:c>
      <x:c r="B65" s="15" t="n">
        <x:v>58</x:v>
      </x:c>
      <x:c r="C65" s="15" t="str">
        <x:v>M</x:v>
      </x:c>
      <x:c r="D65" s="15" t="str">
        <x:v>Diabetes mellitus tipo 2</x:v>
      </x:c>
      <x:c r="E65" s="15" t="str">
        <x:v>Hipotireoidismo</x:v>
      </x:c>
      <x:c r="F65" s="18" t="n">
        <x:v>9.6</x:v>
      </x:c>
      <x:c r="G65" s="20" t="n">
        <x:v>1.03</x:v>
      </x:c>
      <x:c r="H65" s="15" t="n">
        <x:v>171</x:v>
      </x:c>
      <x:c r="I65" s="18" t="n">
        <x:v>38.1</x:v>
      </x:c>
      <x:c r="J65" s="15" t="str">
        <x:v>Metformina XR 1.000 mg à noite; Losartana 50 mg/dia; Atorvastatina 20 mg/noite</x:v>
      </x:c>
      <x:c r="K65" s="15" t="str">
        <x:v>Não</x:v>
      </x:c>
      <x:c r="L65" s="15" t="str">
        <x:v>Não</x:v>
      </x:c>
      <x:c r="M65" s="22" t="n">
        <x:v>46079</x:v>
      </x:c>
      <x:c r="N65" s="15" t="str">
        <x:v>Retorna para seguimento de diabetes mellitus tipo 2. 58 anos, sexo M. Refere uso regular das medicações. Exames recentes: HbA1c 9.6%, glicemia de jejum 171 mg/dL, creatinina 1.03 mg/dL. IMC 38.1 kg/m². Em uso de Metformina XR 1.000 mg à noite; Losartana 50 mg/dia; Atorvastatina 20 mg/noite. Clinicamente estável, sem intercorrências recentes. Orientada manutenção do seguimento e controle laboratorial.</x:v>
      </x:c>
      <x:c r="O65" s="15" t="str">
        <x:v>Elegível</x:v>
      </x:c>
      <x:c r="P65" s="15" t="str">
        <x:v>Critérios claramente atendidos</x:v>
      </x:c>
      <x:c r="Q65" s="15" t="str">
        <x:f>IF(AND(B65&gt;=30,B65&lt;=70,F65&gt;=7,F65&lt;=10.5,G65&lt;=1.5,I65&gt;=25,I65&lt;=45,OR(ISNUMBER(SEARCH("diabetes",D65)),ISNUMBER(SEARCH("DM",D65))),ISNUMBER(SEARCH("metformina",J65)),K65="Não",L65="Não"),"Elegível","Não elegível")</x:f>
        <x:v>Elegível</x:v>
      </x:c>
    </x:row>
    <x:row r="66" ht="54" customHeight="1">
      <x:c r="A66" s="15" t="str">
        <x:v>PAC-065</x:v>
      </x:c>
      <x:c r="B66" s="15" t="n">
        <x:v>57</x:v>
      </x:c>
      <x:c r="C66" s="15" t="str">
        <x:v>M</x:v>
      </x:c>
      <x:c r="D66" s="15" t="str">
        <x:v>DM tipo II</x:v>
      </x:c>
      <x:c r="E66" s="15" t="str">
        <x:v>Hipotireoidismo</x:v>
      </x:c>
      <x:c r="F66" s="18" t="n">
        <x:v>8.2</x:v>
      </x:c>
      <x:c r="G66" s="20" t="n">
        <x:v>1.04</x:v>
      </x:c>
      <x:c r="H66" s="15" t="n">
        <x:v>159</x:v>
      </x:c>
      <x:c r="I66" s="18" t="n">
        <x:v>35.3</x:v>
      </x:c>
      <x:c r="J66" s="15" t="str">
        <x:v>Metformina XR 500 mg 2x/dia</x:v>
      </x:c>
      <x:c r="K66" s="15" t="str">
        <x:v>Não</x:v>
      </x:c>
      <x:c r="L66" s="15" t="str">
        <x:v>Não</x:v>
      </x:c>
      <x:c r="M66" s="22" t="n">
        <x:v>46133</x:v>
      </x:c>
      <x:c r="N66" s="15" t="str">
        <x:v>Paciente com diagnóstico prévio de DM2, em seguimento regular. 57 anos, sexo M. Refere uso regular das medicações. Exames recentes: HbA1c 8.2%, glicemia de jejum 159 mg/dL, creatinina 1.04 mg/dL. IMC 35.3 kg/m². Em uso de Metformina XR 500 mg 2x/dia. Nega hipoglicemias sintomáticas. Orientada manutenção do seguimento e controle laboratorial.</x:v>
      </x:c>
      <x:c r="O66" s="15" t="str">
        <x:v>Elegível</x:v>
      </x:c>
      <x:c r="P66" s="15" t="str">
        <x:v>Critérios claramente atendidos</x:v>
      </x:c>
      <x:c r="Q66" s="15" t="str">
        <x:f>IF(AND(B66&gt;=30,B66&lt;=70,F66&gt;=7,F66&lt;=10.5,G66&lt;=1.5,I66&gt;=25,I66&lt;=45,OR(ISNUMBER(SEARCH("diabetes",D66)),ISNUMBER(SEARCH("DM",D66))),ISNUMBER(SEARCH("metformina",J66)),K66="Não",L66="Não"),"Elegível","Não elegível")</x:f>
        <x:v>Elegível</x:v>
      </x:c>
    </x:row>
    <x:row r="67" ht="54" customHeight="1">
      <x:c r="A67" s="15" t="str">
        <x:v>PAC-066</x:v>
      </x:c>
      <x:c r="B67" s="15" t="n">
        <x:v>49</x:v>
      </x:c>
      <x:c r="C67" s="15" t="str">
        <x:v>M</x:v>
      </x:c>
      <x:c r="D67" s="15" t="str">
        <x:v>DM2</x:v>
      </x:c>
      <x:c r="E67" s="15" t="str">
        <x:v>Osteoartrite de joelhos</x:v>
      </x:c>
      <x:c r="F67" s="18" t="n">
        <x:v>8.6</x:v>
      </x:c>
      <x:c r="G67" s="20" t="n">
        <x:v>0.71</x:v>
      </x:c>
      <x:c r="H67" s="15" t="n">
        <x:v>165</x:v>
      </x:c>
      <x:c r="I67" s="18" t="n">
        <x:v>38.6</x:v>
      </x:c>
      <x:c r="J67" s="15" t="str">
        <x:v>Metformina 1.000 mg 2x/dia; Losartana 50 mg 2x/dia</x:v>
      </x:c>
      <x:c r="K67" s="15" t="str">
        <x:v>Não</x:v>
      </x:c>
      <x:c r="L67" s="15" t="str">
        <x:v>Não</x:v>
      </x:c>
      <x:c r="M67" s="22" t="n">
        <x:v>46222</x:v>
      </x:c>
      <x:c r="N67" s="15" t="str">
        <x:v>Paciente em acompanhamento ambulatorial por DM2. 49 anos, sexo M. Refere adesão parcial às medidas não farmacológicas. Exames recentes: HbA1c 8.6%, glicemia de jejum 165 mg/dL, creatinina 0.71 mg/dL. IMC 38.6 kg/m². Em uso de Metformina 1.000 mg 2x/dia; Losartana 50 mg 2x/dia. Sem sintomas sugestivos de descompensação aguda. Orientada manutenção do seguimento e controle laboratorial.</x:v>
      </x:c>
      <x:c r="O67" s="15" t="str">
        <x:v>Elegível</x:v>
      </x:c>
      <x:c r="P67" s="15" t="str">
        <x:v>Critérios claramente atendidos</x:v>
      </x:c>
      <x:c r="Q67" s="15" t="str">
        <x:f>IF(AND(B67&gt;=30,B67&lt;=70,F67&gt;=7,F67&lt;=10.5,G67&lt;=1.5,I67&gt;=25,I67&lt;=45,OR(ISNUMBER(SEARCH("diabetes",D67)),ISNUMBER(SEARCH("DM",D67))),ISNUMBER(SEARCH("metformina",J67)),K67="Não",L67="Não"),"Elegível","Não elegível")</x:f>
        <x:v>Elegível</x:v>
      </x:c>
    </x:row>
    <x:row r="68" ht="54" customHeight="1">
      <x:c r="A68" s="15" t="str">
        <x:v>PAC-067</x:v>
      </x:c>
      <x:c r="B68" s="15" t="n">
        <x:v>41</x:v>
      </x:c>
      <x:c r="C68" s="15" t="str">
        <x:v>M</x:v>
      </x:c>
      <x:c r="D68" s="15" t="str">
        <x:v>DM tipo II</x:v>
      </x:c>
      <x:c r="E68" s="15" t="str">
        <x:v>Obesidade</x:v>
      </x:c>
      <x:c r="F68" s="18" t="n">
        <x:v>8.7</x:v>
      </x:c>
      <x:c r="G68" s="20" t="n">
        <x:v>1.21</x:v>
      </x:c>
      <x:c r="H68" s="15" t="n">
        <x:v>188</x:v>
      </x:c>
      <x:c r="I68" s="18" t="n">
        <x:v>35.7</x:v>
      </x:c>
      <x:c r="J68" s="15" t="str">
        <x:v>Metformina 850 mg manhã e noite; Losartana 50 mg/dia; Atorvastatina 20 mg/noite</x:v>
      </x:c>
      <x:c r="K68" s="15" t="str">
        <x:v>Não</x:v>
      </x:c>
      <x:c r="L68" s="15" t="str">
        <x:v>Não</x:v>
      </x:c>
      <x:c r="M68" s="22" t="n">
        <x:v>46149</x:v>
      </x:c>
      <x:c r="N68" s="15" t="str">
        <x:v>Paciente em acompanhamento ambulatorial por DM2. 41 anos, sexo M. Relata boa adesão ao tratamento prescrito. Exames recentes: HbA1c 8.7%, glicemia de jejum 188 mg/dL, creatinina 1.21 mg/dL. IMC 35.7 kg/m². Em uso de Metformina 850 mg manhã e noite; Losartana 50 mg/dia; Atorvastatina 20 mg/noite. Nega poliúria, polidipsia ou perda ponderal recente. Programado retorno com novos exames laboratoriais.</x:v>
      </x:c>
      <x:c r="O68" s="15" t="str">
        <x:v>Elegível</x:v>
      </x:c>
      <x:c r="P68" s="15" t="str">
        <x:v>Critérios claramente atendidos</x:v>
      </x:c>
      <x:c r="Q68" s="15" t="str">
        <x:f>IF(AND(B68&gt;=30,B68&lt;=70,F68&gt;=7,F68&lt;=10.5,G68&lt;=1.5,I68&gt;=25,I68&lt;=45,OR(ISNUMBER(SEARCH("diabetes",D68)),ISNUMBER(SEARCH("DM",D68))),ISNUMBER(SEARCH("metformina",J68)),K68="Não",L68="Não"),"Elegível","Não elegível")</x:f>
        <x:v>Elegível</x:v>
      </x:c>
    </x:row>
    <x:row r="69" ht="54" customHeight="1">
      <x:c r="A69" s="15" t="str">
        <x:v>PAC-068</x:v>
      </x:c>
      <x:c r="B69" s="15" t="n">
        <x:v>47</x:v>
      </x:c>
      <x:c r="C69" s="15" t="str">
        <x:v>F</x:v>
      </x:c>
      <x:c r="D69" s="15" t="str">
        <x:v>DM2</x:v>
      </x:c>
      <x:c r="E69" s="15" t="str">
        <x:v>Hipertensão arterial sistêmica</x:v>
      </x:c>
      <x:c r="F69" s="18" t="n">
        <x:v>8</x:v>
      </x:c>
      <x:c r="G69" s="20" t="n">
        <x:v>1.2</x:v>
      </x:c>
      <x:c r="H69" s="15" t="n">
        <x:v>183</x:v>
      </x:c>
      <x:c r="I69" s="18" t="n">
        <x:v>41.3</x:v>
      </x:c>
      <x:c r="J69" s="15" t="str">
        <x:v>Metformina 850 mg manhã e noite; Levotiroxina 75 mcg/dia</x:v>
      </x:c>
      <x:c r="K69" s="15" t="str">
        <x:v>Não</x:v>
      </x:c>
      <x:c r="L69" s="15" t="str">
        <x:v>Não</x:v>
      </x:c>
      <x:c r="M69" s="22" t="n">
        <x:v>46089</x:v>
      </x:c>
      <x:c r="N69" s="15" t="str">
        <x:v>Reavaliação clínica de paciente com diabetes tipo 2. 47 anos, sexo F. Informa uso irregular da dieta, porém mantém as medicações. Exames recentes: HbA1c 8.0%, glicemia de jejum 183 mg/dL, creatinina 1.20 mg/dL. IMC 41.3 kg/m². Em uso de Metformina 850 mg manhã e noite; Levotiroxina 75 mcg/dia. Sem queixas agudas no momento. Mantido acompanhamento e reforçadas medidas de estilo de vida.</x:v>
      </x:c>
      <x:c r="O69" s="15" t="str">
        <x:v>Elegível</x:v>
      </x:c>
      <x:c r="P69" s="15" t="str">
        <x:v>Critérios claramente atendidos</x:v>
      </x:c>
      <x:c r="Q69" s="15" t="str">
        <x:f>IF(AND(B69&gt;=30,B69&lt;=70,F69&gt;=7,F69&lt;=10.5,G69&lt;=1.5,I69&gt;=25,I69&lt;=45,OR(ISNUMBER(SEARCH("diabetes",D69)),ISNUMBER(SEARCH("DM",D69))),ISNUMBER(SEARCH("metformina",J69)),K69="Não",L69="Não"),"Elegível","Não elegível")</x:f>
        <x:v>Elegível</x:v>
      </x:c>
    </x:row>
    <x:row r="70" ht="54" customHeight="1">
      <x:c r="A70" s="15" t="str">
        <x:v>PAC-069</x:v>
      </x:c>
      <x:c r="B70" s="15" t="n">
        <x:v>56</x:v>
      </x:c>
      <x:c r="C70" s="15" t="str">
        <x:v>M</x:v>
      </x:c>
      <x:c r="D70" s="15" t="str">
        <x:v>DM tipo II</x:v>
      </x:c>
      <x:c r="E70" s="15" t="str">
        <x:v>Obesidade</x:v>
      </x:c>
      <x:c r="F70" s="18" t="n">
        <x:v>8.7</x:v>
      </x:c>
      <x:c r="G70" s="20" t="n">
        <x:v>0.67</x:v>
      </x:c>
      <x:c r="H70" s="15" t="n">
        <x:v>170</x:v>
      </x:c>
      <x:c r="I70" s="18" t="n">
        <x:v>38.4</x:v>
      </x:c>
      <x:c r="J70" s="15" t="str">
        <x:v>Metformina XR 500 mg 2x/dia; Amlodipino 5 mg/dia</x:v>
      </x:c>
      <x:c r="K70" s="15" t="str">
        <x:v>Não</x:v>
      </x:c>
      <x:c r="L70" s="15" t="str">
        <x:v>Não</x:v>
      </x:c>
      <x:c r="M70" s="22" t="n">
        <x:v>46145</x:v>
      </x:c>
      <x:c r="N70" s="15" t="str">
        <x:v>Reavaliação clínica de paciente com diabetes tipo 2. 56 anos, sexo M. Nega interrupção recente das medicações. Exames recentes: HbA1c 8.7%, glicemia de jejum 170 mg/dL, creatinina 0.67 mg/dL. IMC 38.4 kg/m². Em uso de Metformina XR 500 mg 2x/dia; Amlodipino 5 mg/dia. Clinicamente estável, sem intercorrências recentes. Reforçadas orientações dietéticas e de atividade física.</x:v>
      </x:c>
      <x:c r="O70" s="15" t="str">
        <x:v>Elegível</x:v>
      </x:c>
      <x:c r="P70" s="15" t="str">
        <x:v>Critérios claramente atendidos</x:v>
      </x:c>
      <x:c r="Q70" s="15" t="str">
        <x:f>IF(AND(B70&gt;=30,B70&lt;=70,F70&gt;=7,F70&lt;=10.5,G70&lt;=1.5,I70&gt;=25,I70&lt;=45,OR(ISNUMBER(SEARCH("diabetes",D70)),ISNUMBER(SEARCH("DM",D70))),ISNUMBER(SEARCH("metformina",J70)),K70="Não",L70="Não"),"Elegível","Não elegível")</x:f>
        <x:v>Elegível</x:v>
      </x:c>
    </x:row>
    <x:row r="71" ht="54" customHeight="1">
      <x:c r="A71" s="15" t="str">
        <x:v>PAC-070</x:v>
      </x:c>
      <x:c r="B71" s="15" t="n">
        <x:v>64</x:v>
      </x:c>
      <x:c r="C71" s="15" t="str">
        <x:v>F</x:v>
      </x:c>
      <x:c r="D71" s="15" t="str">
        <x:v>DM2</x:v>
      </x:c>
      <x:c r="E71" s="15" t="str">
        <x:v>Sem comorbidades relevantes</x:v>
      </x:c>
      <x:c r="F71" s="18" t="n">
        <x:v>8.6</x:v>
      </x:c>
      <x:c r="G71" s="20" t="n">
        <x:v>1.33</x:v>
      </x:c>
      <x:c r="H71" s="15" t="n">
        <x:v>186</x:v>
      </x:c>
      <x:c r="I71" s="18" t="n">
        <x:v>26.9</x:v>
      </x:c>
      <x:c r="J71" s="15" t="str">
        <x:v>Metformina XR 500 mg 2x/dia; Levotiroxina 75 mcg/dia</x:v>
      </x:c>
      <x:c r="K71" s="15" t="str">
        <x:v>Não</x:v>
      </x:c>
      <x:c r="L71" s="15" t="str">
        <x:v>Não</x:v>
      </x:c>
      <x:c r="M71" s="22" t="n">
        <x:v>46163</x:v>
      </x:c>
      <x:c r="N71" s="15" t="str">
        <x:v>Em consulta de rotina para controle metabólico. 64 anos, sexo F. Informa uso irregular da dieta, porém mantém as medicações. Exames recentes: HbA1c 8.6%, glicemia de jejum 186 mg/dL, creatinina 1.33 mg/dL. IMC 26.9 kg/m². Em uso de Metformina XR 500 mg 2x/dia; Levotiroxina 75 mcg/dia. Sem queixas agudas no momento. Orientada manutenção do seguimento e controle laboratorial.</x:v>
      </x:c>
      <x:c r="O71" s="15" t="str">
        <x:v>Elegível</x:v>
      </x:c>
      <x:c r="P71" s="15" t="str">
        <x:v>Critérios claramente atendidos</x:v>
      </x:c>
      <x:c r="Q71" s="15" t="str">
        <x:f>IF(AND(B71&gt;=30,B71&lt;=70,F71&gt;=7,F71&lt;=10.5,G71&lt;=1.5,I71&gt;=25,I71&lt;=45,OR(ISNUMBER(SEARCH("diabetes",D71)),ISNUMBER(SEARCH("DM",D71))),ISNUMBER(SEARCH("metformina",J71)),K71="Não",L71="Não"),"Elegível","Não elegível")</x:f>
        <x:v>Elegível</x:v>
      </x:c>
    </x:row>
    <x:row r="72" ht="54" customHeight="1">
      <x:c r="A72" s="15" t="str">
        <x:v>PAC-071</x:v>
      </x:c>
      <x:c r="B72" s="15" t="n">
        <x:v>38</x:v>
      </x:c>
      <x:c r="C72" s="15" t="str">
        <x:v>M</x:v>
      </x:c>
      <x:c r="D72" s="15" t="str">
        <x:v>DM2</x:v>
      </x:c>
      <x:c r="E72" s="15" t="str">
        <x:v>Hipertensão arterial sistêmica; Dislipidemia</x:v>
      </x:c>
      <x:c r="F72" s="18" t="n">
        <x:v>9</x:v>
      </x:c>
      <x:c r="G72" s="20" t="n">
        <x:v>0.95</x:v>
      </x:c>
      <x:c r="H72" s="15" t="n">
        <x:v>163</x:v>
      </x:c>
      <x:c r="I72" s="18" t="n">
        <x:v>35.2</x:v>
      </x:c>
      <x:c r="J72" s="15" t="str">
        <x:v>Metformina 850 mg manhã e noite; Amlodipino 5 mg/dia</x:v>
      </x:c>
      <x:c r="K72" s="15" t="str">
        <x:v>Não</x:v>
      </x:c>
      <x:c r="L72" s="15" t="str">
        <x:v>Não</x:v>
      </x:c>
      <x:c r="M72" s="22" t="n">
        <x:v>46182</x:v>
      </x:c>
      <x:c r="N72" s="15" t="str">
        <x:v>Retorna para seguimento de diabetes mellitus tipo 2. 38 anos, sexo M. Refere uso regular das medicações. Exames recentes: HbA1c 9.0%, glicemia de jejum 163 mg/dL, creatinina 0.95 mg/dL. IMC 35.2 kg/m². Em uso de Metformina 850 mg manhã e noite; Amlodipino 5 mg/dia. Sem queixas agudas no momento. Reforçadas orientações dietéticas e de atividade física.</x:v>
      </x:c>
      <x:c r="O72" s="15" t="str">
        <x:v>Elegível</x:v>
      </x:c>
      <x:c r="P72" s="15" t="str">
        <x:v>Critérios claramente atendidos</x:v>
      </x:c>
      <x:c r="Q72" s="15" t="str">
        <x:f>IF(AND(B72&gt;=30,B72&lt;=70,F72&gt;=7,F72&lt;=10.5,G72&lt;=1.5,I72&gt;=25,I72&lt;=45,OR(ISNUMBER(SEARCH("diabetes",D72)),ISNUMBER(SEARCH("DM",D72))),ISNUMBER(SEARCH("metformina",J72)),K72="Não",L72="Não"),"Elegível","Não elegível")</x:f>
        <x:v>Elegível</x:v>
      </x:c>
    </x:row>
    <x:row r="73" ht="54" customHeight="1">
      <x:c r="A73" s="15" t="str">
        <x:v>PAC-072</x:v>
      </x:c>
      <x:c r="B73" s="15" t="n">
        <x:v>60</x:v>
      </x:c>
      <x:c r="C73" s="15" t="str">
        <x:v>M</x:v>
      </x:c>
      <x:c r="D73" s="15" t="str">
        <x:v>Diabetes mellitus tipo II</x:v>
      </x:c>
      <x:c r="E73" s="15" t="str">
        <x:v>Hipertensão arterial sistêmica; Dislipidemia</x:v>
      </x:c>
      <x:c r="F73" s="18" t="n">
        <x:v>9.4</x:v>
      </x:c>
      <x:c r="G73" s="20" t="n">
        <x:v>1.34</x:v>
      </x:c>
      <x:c r="H73" s="15" t="n">
        <x:v>189</x:v>
      </x:c>
      <x:c r="I73" s="18" t="n">
        <x:v>31.8</x:v>
      </x:c>
      <x:c r="J73" s="15" t="str">
        <x:v>Metformina 850 mg 2x/dia; Losartana 50 mg 2x/dia</x:v>
      </x:c>
      <x:c r="K73" s="15" t="str">
        <x:v>Não</x:v>
      </x:c>
      <x:c r="L73" s="15" t="str">
        <x:v>Não</x:v>
      </x:c>
      <x:c r="M73" s="22" t="n">
        <x:v>46210</x:v>
      </x:c>
      <x:c r="N73" s="15" t="str">
        <x:v>Paciente com diagnóstico prévio de DM2, em seguimento regular. 60 anos, sexo M. Relata boa adesão ao tratamento prescrito. Exames recentes: HbA1c 9.4%, glicemia de jejum 189 mg/dL, creatinina 1.34 mg/dL. IMC 31.8 kg/m². Em uso de Metformina 850 mg 2x/dia; Losartana 50 mg 2x/dia. Sem sintomas sugestivos de descompensação aguda. Programado retorno com novos exames laboratoriais.</x:v>
      </x:c>
      <x:c r="O73" s="15" t="str">
        <x:v>Elegível</x:v>
      </x:c>
      <x:c r="P73" s="15" t="str">
        <x:v>Critérios claramente atendidos</x:v>
      </x:c>
      <x:c r="Q73" s="15" t="str">
        <x:f>IF(AND(B73&gt;=30,B73&lt;=70,F73&gt;=7,F73&lt;=10.5,G73&lt;=1.5,I73&gt;=25,I73&lt;=45,OR(ISNUMBER(SEARCH("diabetes",D73)),ISNUMBER(SEARCH("DM",D73))),ISNUMBER(SEARCH("metformina",J73)),K73="Não",L73="Não"),"Elegível","Não elegível")</x:f>
        <x:v>Elegível</x:v>
      </x:c>
    </x:row>
    <x:row r="74" ht="54" customHeight="1">
      <x:c r="A74" s="15" t="str">
        <x:v>PAC-073</x:v>
      </x:c>
      <x:c r="B74" s="15" t="n">
        <x:v>40</x:v>
      </x:c>
      <x:c r="C74" s="15" t="str">
        <x:v>M</x:v>
      </x:c>
      <x:c r="D74" s="15" t="str">
        <x:v>DM2</x:v>
      </x:c>
      <x:c r="E74" s="15" t="str">
        <x:v>Obesidade; Hipertensão arterial sistêmica</x:v>
      </x:c>
      <x:c r="F74" s="18" t="n">
        <x:v>9.8</x:v>
      </x:c>
      <x:c r="G74" s="20" t="n">
        <x:v>1.33</x:v>
      </x:c>
      <x:c r="H74" s="15" t="n">
        <x:v>189</x:v>
      </x:c>
      <x:c r="I74" s="18" t="n">
        <x:v>36.5</x:v>
      </x:c>
      <x:c r="J74" s="15" t="str">
        <x:v>Metformina XR 1.000 mg à noite; Amlodipino 5 mg/dia</x:v>
      </x:c>
      <x:c r="K74" s="15" t="str">
        <x:v>Não</x:v>
      </x:c>
      <x:c r="L74" s="15" t="str">
        <x:v>Não</x:v>
      </x:c>
      <x:c r="M74" s="22" t="n">
        <x:v>46144</x:v>
      </x:c>
      <x:c r="N74" s="15" t="str">
        <x:v>Em consulta de rotina para controle metabólico. 40 anos, sexo M. Refere uso regular das medicações. Exames recentes: HbA1c 9.8%, glicemia de jejum 189 mg/dL, creatinina 1.33 mg/dL. IMC 36.5 kg/m². Em uso de Metformina XR 1.000 mg à noite; Amlodipino 5 mg/dia. Sem sintomas sugestivos de descompensação aguda. Orientada manutenção do seguimento e controle laboratorial.</x:v>
      </x:c>
      <x:c r="O74" s="15" t="str">
        <x:v>Elegível</x:v>
      </x:c>
      <x:c r="P74" s="15" t="str">
        <x:v>Critérios claramente atendidos</x:v>
      </x:c>
      <x:c r="Q74" s="15" t="str">
        <x:f>IF(AND(B74&gt;=30,B74&lt;=70,F74&gt;=7,F74&lt;=10.5,G74&lt;=1.5,I74&gt;=25,I74&lt;=45,OR(ISNUMBER(SEARCH("diabetes",D74)),ISNUMBER(SEARCH("DM",D74))),ISNUMBER(SEARCH("metformina",J74)),K74="Não",L74="Não"),"Elegível","Não elegível")</x:f>
        <x:v>Elegível</x:v>
      </x:c>
    </x:row>
    <x:row r="75" ht="54" customHeight="1">
      <x:c r="A75" s="15" t="str">
        <x:v>PAC-074</x:v>
      </x:c>
      <x:c r="B75" s="15" t="n">
        <x:v>63</x:v>
      </x:c>
      <x:c r="C75" s="15" t="str">
        <x:v>F</x:v>
      </x:c>
      <x:c r="D75" s="15" t="str">
        <x:v>Diabetes mellitus tipo II</x:v>
      </x:c>
      <x:c r="E75" s="15" t="str">
        <x:v>Hipertensão arterial sistêmica; Dislipidemia</x:v>
      </x:c>
      <x:c r="F75" s="18" t="n">
        <x:v>8.1</x:v>
      </x:c>
      <x:c r="G75" s="20" t="n">
        <x:v>1.25</x:v>
      </x:c>
      <x:c r="H75" s="15" t="n">
        <x:v>183</x:v>
      </x:c>
      <x:c r="I75" s="18" t="n">
        <x:v>39.1</x:v>
      </x:c>
      <x:c r="J75" s="15" t="str">
        <x:v>Metformina 850 mg manhã e noite; Atorvastatina 20 mg à noite</x:v>
      </x:c>
      <x:c r="K75" s="15" t="str">
        <x:v>Não</x:v>
      </x:c>
      <x:c r="L75" s="15" t="str">
        <x:v>Não</x:v>
      </x:c>
      <x:c r="M75" s="22" t="n">
        <x:v>46057</x:v>
      </x:c>
      <x:c r="N75" s="15" t="str">
        <x:v>Paciente em acompanhamento ambulatorial por DM2. 63 anos, sexo F. Informa uso irregular da dieta, porém mantém as medicações. Exames recentes: HbA1c 8.1%, glicemia de jejum 183 mg/dL, creatinina 1.25 mg/dL. IMC 39.1 kg/m². Em uso de Metformina 850 mg manhã e noite; Atorvastatina 20 mg à noite. Nega poliúria, polidipsia ou perda ponderal recente. Programado retorno com novos exames laboratoriais.</x:v>
      </x:c>
      <x:c r="O75" s="15" t="str">
        <x:v>Elegível</x:v>
      </x:c>
      <x:c r="P75" s="15" t="str">
        <x:v>Critérios claramente atendidos</x:v>
      </x:c>
      <x:c r="Q75" s="15" t="str">
        <x:f>IF(AND(B75&gt;=30,B75&lt;=70,F75&gt;=7,F75&lt;=10.5,G75&lt;=1.5,I75&gt;=25,I75&lt;=45,OR(ISNUMBER(SEARCH("diabetes",D75)),ISNUMBER(SEARCH("DM",D75))),ISNUMBER(SEARCH("metformina",J75)),K75="Não",L75="Não"),"Elegível","Não elegível")</x:f>
        <x:v>Elegível</x:v>
      </x:c>
    </x:row>
    <x:row r="76" ht="54" customHeight="1">
      <x:c r="A76" s="15" t="str">
        <x:v>PAC-075</x:v>
      </x:c>
      <x:c r="B76" s="15" t="n">
        <x:v>46</x:v>
      </x:c>
      <x:c r="C76" s="15" t="str">
        <x:v>M</x:v>
      </x:c>
      <x:c r="D76" s="15" t="str">
        <x:v>DM2</x:v>
      </x:c>
      <x:c r="E76" s="15" t="str">
        <x:v>Hipotireoidismo</x:v>
      </x:c>
      <x:c r="F76" s="18" t="n">
        <x:v>9.3</x:v>
      </x:c>
      <x:c r="G76" s="20" t="n">
        <x:v>1.06</x:v>
      </x:c>
      <x:c r="H76" s="15" t="n">
        <x:v>166</x:v>
      </x:c>
      <x:c r="I76" s="18" t="n">
        <x:v>36</x:v>
      </x:c>
      <x:c r="J76" s="15" t="str">
        <x:v>Metformina 500 mg 2x/dia; Atorvastatina 20 mg à noite</x:v>
      </x:c>
      <x:c r="K76" s="15" t="str">
        <x:v>Não</x:v>
      </x:c>
      <x:c r="L76" s="15" t="str">
        <x:v>Não</x:v>
      </x:c>
      <x:c r="M76" s="22" t="n">
        <x:v>46235</x:v>
      </x:c>
      <x:c r="N76" s="15" t="str">
        <x:v>Paciente com diagnóstico prévio de DM2, em seguimento regular. 46 anos, sexo M. Informa uso irregular da dieta, porém mantém as medicações. Exames recentes: HbA1c 9.3%, glicemia de jejum 166 mg/dL, creatinina 1.06 mg/dL. IMC 36.0 kg/m². Em uso de Metformina 500 mg 2x/dia; Atorvastatina 20 mg à noite. Nega hipoglicemias sintomáticas. Mantido acompanhamento e reforçadas medidas de estilo de vida.</x:v>
      </x:c>
      <x:c r="O76" s="15" t="str">
        <x:v>Elegível</x:v>
      </x:c>
      <x:c r="P76" s="15" t="str">
        <x:v>Critérios claramente atendidos</x:v>
      </x:c>
      <x:c r="Q76" s="15" t="str">
        <x:f>IF(AND(B76&gt;=30,B76&lt;=70,F76&gt;=7,F76&lt;=10.5,G76&lt;=1.5,I76&gt;=25,I76&lt;=45,OR(ISNUMBER(SEARCH("diabetes",D76)),ISNUMBER(SEARCH("DM",D76))),ISNUMBER(SEARCH("metformina",J76)),K76="Não",L76="Não"),"Elegível","Não elegível")</x:f>
        <x:v>Elegível</x:v>
      </x:c>
    </x:row>
    <x:row r="77" ht="54" customHeight="1">
      <x:c r="A77" s="15" t="str">
        <x:v>PAC-076</x:v>
      </x:c>
      <x:c r="B77" s="15" t="n">
        <x:v>44</x:v>
      </x:c>
      <x:c r="C77" s="15" t="str">
        <x:v>M</x:v>
      </x:c>
      <x:c r="D77" s="15" t="str">
        <x:v>Diabetes mellitus tipo II</x:v>
      </x:c>
      <x:c r="E77" s="15" t="str">
        <x:v>Esteatose hepática</x:v>
      </x:c>
      <x:c r="F77" s="18" t="n">
        <x:v>9.7</x:v>
      </x:c>
      <x:c r="G77" s="20" t="n">
        <x:v>1.22</x:v>
      </x:c>
      <x:c r="H77" s="15" t="n">
        <x:v>202</x:v>
      </x:c>
      <x:c r="I77" s="18" t="n">
        <x:v>38.7</x:v>
      </x:c>
      <x:c r="J77" s="15" t="str">
        <x:v>Metformina 850 mg 2x/dia; Amlodipino 5 mg/dia</x:v>
      </x:c>
      <x:c r="K77" s="15" t="str">
        <x:v>Não</x:v>
      </x:c>
      <x:c r="L77" s="15" t="str">
        <x:v>Não</x:v>
      </x:c>
      <x:c r="M77" s="22" t="n">
        <x:v>46092</x:v>
      </x:c>
      <x:c r="N77" s="15" t="str">
        <x:v>Retorna para seguimento de diabetes mellitus tipo 2. 44 anos, sexo M. Nega interrupção recente das medicações. Exames recentes: HbA1c 9.7%, glicemia de jejum 202 mg/dL, creatinina 1.22 mg/dL. IMC 38.7 kg/m². Em uso de Metformina 850 mg 2x/dia; Amlodipino 5 mg/dia. Nega hipoglicemias sintomáticas. Mantido acompanhamento e reforçadas medidas de estilo de vida.</x:v>
      </x:c>
      <x:c r="O77" s="15" t="str">
        <x:v>Elegível</x:v>
      </x:c>
      <x:c r="P77" s="15" t="str">
        <x:v>Critérios claramente atendidos</x:v>
      </x:c>
      <x:c r="Q77" s="15" t="str">
        <x:f>IF(AND(B77&gt;=30,B77&lt;=70,F77&gt;=7,F77&lt;=10.5,G77&lt;=1.5,I77&gt;=25,I77&lt;=45,OR(ISNUMBER(SEARCH("diabetes",D77)),ISNUMBER(SEARCH("DM",D77))),ISNUMBER(SEARCH("metformina",J77)),K77="Não",L77="Não"),"Elegível","Não elegível")</x:f>
        <x:v>Elegível</x:v>
      </x:c>
    </x:row>
    <x:row r="78" ht="54" customHeight="1">
      <x:c r="A78" s="15" t="str">
        <x:v>PAC-077</x:v>
      </x:c>
      <x:c r="B78" s="15" t="n">
        <x:v>52</x:v>
      </x:c>
      <x:c r="C78" s="15" t="str">
        <x:v>M</x:v>
      </x:c>
      <x:c r="D78" s="15" t="str">
        <x:v>DM tipo II</x:v>
      </x:c>
      <x:c r="E78" s="15" t="str">
        <x:v>Esteatose hepática</x:v>
      </x:c>
      <x:c r="F78" s="18" t="n">
        <x:v>9.6</x:v>
      </x:c>
      <x:c r="G78" s="20" t="n">
        <x:v>0.72</x:v>
      </x:c>
      <x:c r="H78" s="15" t="n">
        <x:v>182</x:v>
      </x:c>
      <x:c r="I78" s="18" t="n">
        <x:v>29.6</x:v>
      </x:c>
      <x:c r="J78" s="15" t="str">
        <x:v>Metformina 500 mg 2x/dia; Losartana 50 mg/dia; Atorvastatina 20 mg/noite</x:v>
      </x:c>
      <x:c r="K78" s="15" t="str">
        <x:v>Não</x:v>
      </x:c>
      <x:c r="L78" s="15" t="str">
        <x:v>Não</x:v>
      </x:c>
      <x:c r="M78" s="22" t="n">
        <x:v>46171</x:v>
      </x:c>
      <x:c r="N78" s="15" t="str">
        <x:v>Em consulta de rotina para controle metabólico. 52 anos, sexo M. Refere adesão parcial às medidas não farmacológicas. Exames recentes: HbA1c 9.6%, glicemia de jejum 182 mg/dL, creatinina 0.72 mg/dL. IMC 29.6 kg/m². Em uso de Metformina 500 mg 2x/dia; Losartana 50 mg/dia; Atorvastatina 20 mg/noite. Sem queixas agudas no momento. Orientada manutenção do seguimento e controle laboratorial.</x:v>
      </x:c>
      <x:c r="O78" s="15" t="str">
        <x:v>Elegível</x:v>
      </x:c>
      <x:c r="P78" s="15" t="str">
        <x:v>Critérios claramente atendidos</x:v>
      </x:c>
      <x:c r="Q78" s="15" t="str">
        <x:f>IF(AND(B78&gt;=30,B78&lt;=70,F78&gt;=7,F78&lt;=10.5,G78&lt;=1.5,I78&gt;=25,I78&lt;=45,OR(ISNUMBER(SEARCH("diabetes",D78)),ISNUMBER(SEARCH("DM",D78))),ISNUMBER(SEARCH("metformina",J78)),K78="Não",L78="Não"),"Elegível","Não elegível")</x:f>
        <x:v>Elegível</x:v>
      </x:c>
    </x:row>
    <x:row r="79" ht="54" customHeight="1">
      <x:c r="A79" s="15" t="str">
        <x:v>PAC-078</x:v>
      </x:c>
      <x:c r="B79" s="15" t="n">
        <x:v>52</x:v>
      </x:c>
      <x:c r="C79" s="15" t="str">
        <x:v>F</x:v>
      </x:c>
      <x:c r="D79" s="15" t="str">
        <x:v>DM tipo II</x:v>
      </x:c>
      <x:c r="E79" s="15" t="str">
        <x:v>Dislipidemia</x:v>
      </x:c>
      <x:c r="F79" s="18" t="n">
        <x:v>8.1</x:v>
      </x:c>
      <x:c r="G79" s="20" t="n">
        <x:v>1.33</x:v>
      </x:c>
      <x:c r="H79" s="15" t="n">
        <x:v>183</x:v>
      </x:c>
      <x:c r="I79" s="18" t="n">
        <x:v>29</x:v>
      </x:c>
      <x:c r="J79" s="15" t="str">
        <x:v>Metformina XR 500 mg 2x/dia; Losartana 50 mg 2x/dia</x:v>
      </x:c>
      <x:c r="K79" s="15" t="str">
        <x:v>Não</x:v>
      </x:c>
      <x:c r="L79" s="15" t="str">
        <x:v>Não</x:v>
      </x:c>
      <x:c r="M79" s="22" t="n">
        <x:v>46069</x:v>
      </x:c>
      <x:c r="N79" s="15" t="str">
        <x:v>Reavaliação clínica de paciente com diabetes tipo 2. 52 anos, sexo F. Refere uso regular das medicações. Exames recentes: HbA1c 8.1%, glicemia de jejum 183 mg/dL, creatinina 1.33 mg/dL. IMC 29.0 kg/m². Em uso de Metformina XR 500 mg 2x/dia; Losartana 50 mg 2x/dia. Sem queixas agudas no momento. Mantido acompanhamento e reforçadas medidas de estilo de vida.</x:v>
      </x:c>
      <x:c r="O79" s="15" t="str">
        <x:v>Elegível</x:v>
      </x:c>
      <x:c r="P79" s="15" t="str">
        <x:v>Critérios claramente atendidos</x:v>
      </x:c>
      <x:c r="Q79" s="15" t="str">
        <x:f>IF(AND(B79&gt;=30,B79&lt;=70,F79&gt;=7,F79&lt;=10.5,G79&lt;=1.5,I79&gt;=25,I79&lt;=45,OR(ISNUMBER(SEARCH("diabetes",D79)),ISNUMBER(SEARCH("DM",D79))),ISNUMBER(SEARCH("metformina",J79)),K79="Não",L79="Não"),"Elegível","Não elegível")</x:f>
        <x:v>Elegível</x:v>
      </x:c>
    </x:row>
    <x:row r="80" ht="54" customHeight="1">
      <x:c r="A80" s="15" t="str">
        <x:v>PAC-079</x:v>
      </x:c>
      <x:c r="B80" s="15" t="n">
        <x:v>58</x:v>
      </x:c>
      <x:c r="C80" s="15" t="str">
        <x:v>F</x:v>
      </x:c>
      <x:c r="D80" s="15" t="str">
        <x:v>Diabetes mellitus tipo 2</x:v>
      </x:c>
      <x:c r="E80" s="15" t="str">
        <x:v>Doença do refluxo gastroesofágico</x:v>
      </x:c>
      <x:c r="F80" s="18" t="n">
        <x:v>9.5</x:v>
      </x:c>
      <x:c r="G80" s="20" t="n">
        <x:v>1.08</x:v>
      </x:c>
      <x:c r="H80" s="15" t="n">
        <x:v>167</x:v>
      </x:c>
      <x:c r="I80" s="18" t="n">
        <x:v>36.9</x:v>
      </x:c>
      <x:c r="J80" s="15" t="str">
        <x:v>Metformina XR 1.000 mg à noite; Atorvastatina 20 mg à noite</x:v>
      </x:c>
      <x:c r="K80" s="15" t="str">
        <x:v>Não</x:v>
      </x:c>
      <x:c r="L80" s="15" t="str">
        <x:v>Não</x:v>
      </x:c>
      <x:c r="M80" s="22" t="n">
        <x:v>46105</x:v>
      </x:c>
      <x:c r="N80" s="15" t="str">
        <x:v>Retorna para seguimento de diabetes mellitus tipo 2. 58 anos, sexo F. Informa uso irregular da dieta, porém mantém as medicações. Exames recentes: HbA1c 9.5%, glicemia de jejum 167 mg/dL, creatinina 1.08 mg/dL. IMC 36.9 kg/m². Em uso de Metformina XR 1.000 mg à noite; Atorvastatina 20 mg à noite. Clinicamente estável, sem intercorrências recentes. Programado retorno com novos exames laboratoriais.</x:v>
      </x:c>
      <x:c r="O80" s="15" t="str">
        <x:v>Elegível</x:v>
      </x:c>
      <x:c r="P80" s="15" t="str">
        <x:v>Critérios claramente atendidos</x:v>
      </x:c>
      <x:c r="Q80" s="15" t="str">
        <x:f>IF(AND(B80&gt;=30,B80&lt;=70,F80&gt;=7,F80&lt;=10.5,G80&lt;=1.5,I80&gt;=25,I80&lt;=45,OR(ISNUMBER(SEARCH("diabetes",D80)),ISNUMBER(SEARCH("DM",D80))),ISNUMBER(SEARCH("metformina",J80)),K80="Não",L80="Não"),"Elegível","Não elegível")</x:f>
        <x:v>Elegível</x:v>
      </x:c>
    </x:row>
    <x:row r="81" ht="54" customHeight="1">
      <x:c r="A81" s="15" t="str">
        <x:v>PAC-080</x:v>
      </x:c>
      <x:c r="B81" s="15" t="n">
        <x:v>64</x:v>
      </x:c>
      <x:c r="C81" s="15" t="str">
        <x:v>M</x:v>
      </x:c>
      <x:c r="D81" s="15" t="str">
        <x:v>Diabetes mellitus tipo 2</x:v>
      </x:c>
      <x:c r="E81" s="15" t="str">
        <x:v>Hipertensão arterial sistêmica; Dislipidemia</x:v>
      </x:c>
      <x:c r="F81" s="18" t="n">
        <x:v>8.9</x:v>
      </x:c>
      <x:c r="G81" s="20" t="n">
        <x:v>0.94</x:v>
      </x:c>
      <x:c r="H81" s="15" t="n">
        <x:v>170</x:v>
      </x:c>
      <x:c r="I81" s="18" t="n">
        <x:v>27.5</x:v>
      </x:c>
      <x:c r="J81" s="15" t="str">
        <x:v>Metformina 850 mg manhã e noite; Losartana 50 mg/dia; Atorvastatina 20 mg/noite</x:v>
      </x:c>
      <x:c r="K81" s="15" t="str">
        <x:v>Não</x:v>
      </x:c>
      <x:c r="L81" s="15" t="str">
        <x:v>Não</x:v>
      </x:c>
      <x:c r="M81" s="22" t="n">
        <x:v>46088</x:v>
      </x:c>
      <x:c r="N81" s="15" t="str">
        <x:v>Retorna para seguimento de diabetes mellitus tipo 2. 64 anos, sexo M. Refere uso regular das medicações. Exames recentes: HbA1c 8.9%, glicemia de jejum 170 mg/dL, creatinina 0.94 mg/dL. IMC 27.5 kg/m². Em uso de Metformina 850 mg manhã e noite; Losartana 50 mg/dia; Atorvastatina 20 mg/noite. Sem queixas agudas no momento. Reforçadas orientações dietéticas e de atividade física.</x:v>
      </x:c>
      <x:c r="O81" s="15" t="str">
        <x:v>Elegível</x:v>
      </x:c>
      <x:c r="P81" s="15" t="str">
        <x:v>Critérios claramente atendidos</x:v>
      </x:c>
      <x:c r="Q81" s="15" t="str">
        <x:f>IF(AND(B81&gt;=30,B81&lt;=70,F81&gt;=7,F81&lt;=10.5,G81&lt;=1.5,I81&gt;=25,I81&lt;=45,OR(ISNUMBER(SEARCH("diabetes",D81)),ISNUMBER(SEARCH("DM",D81))),ISNUMBER(SEARCH("metformina",J81)),K81="Não",L81="Não"),"Elegível","Não elegível")</x:f>
        <x:v>Elegível</x:v>
      </x:c>
    </x:row>
    <x:row r="82" ht="54" customHeight="1">
      <x:c r="A82" s="15" t="str">
        <x:v>PAC-081</x:v>
      </x:c>
      <x:c r="B82" s="15" t="n">
        <x:v>45</x:v>
      </x:c>
      <x:c r="C82" s="15" t="str">
        <x:v>M</x:v>
      </x:c>
      <x:c r="D82" s="15" t="str">
        <x:v>DM tipo II</x:v>
      </x:c>
      <x:c r="E82" s="15" t="str">
        <x:v>Dislipidemia</x:v>
      </x:c>
      <x:c r="F82" s="18" t="n">
        <x:v>8.7</x:v>
      </x:c>
      <x:c r="G82" s="20" t="n">
        <x:v>0.67</x:v>
      </x:c>
      <x:c r="H82" s="15" t="n">
        <x:v>175</x:v>
      </x:c>
      <x:c r="I82" s="18" t="n">
        <x:v>27.8</x:v>
      </x:c>
      <x:c r="J82" s="15" t="str">
        <x:v>Metformina XR 1.000 mg à noite; Sinvastatina 20 mg à noite</x:v>
      </x:c>
      <x:c r="K82" s="15" t="str">
        <x:v>Não</x:v>
      </x:c>
      <x:c r="L82" s="15" t="str">
        <x:v>Não</x:v>
      </x:c>
      <x:c r="M82" s="22" t="n">
        <x:v>46254</x:v>
      </x:c>
      <x:c r="N82" s="15" t="str">
        <x:v>Reavaliação clínica de paciente com diabetes tipo 2. 45 anos, sexo M. Informa uso irregular da dieta, porém mantém as medicações. Exames recentes: HbA1c 8.7%, glicemia de jejum 175 mg/dL, creatinina 0.67 mg/dL. IMC 27.8 kg/m². Em uso de Metformina XR 1.000 mg à noite; Sinvastatina 20 mg à noite. Nega hipoglicemias sintomáticas. Mantida terapêutica atual até reavaliação.</x:v>
      </x:c>
      <x:c r="O82" s="15" t="str">
        <x:v>Elegível</x:v>
      </x:c>
      <x:c r="P82" s="15" t="str">
        <x:v>Critérios claramente atendidos</x:v>
      </x:c>
      <x:c r="Q82" s="15" t="str">
        <x:f>IF(AND(B82&gt;=30,B82&lt;=70,F82&gt;=7,F82&lt;=10.5,G82&lt;=1.5,I82&gt;=25,I82&lt;=45,OR(ISNUMBER(SEARCH("diabetes",D82)),ISNUMBER(SEARCH("DM",D82))),ISNUMBER(SEARCH("metformina",J82)),K82="Não",L82="Não"),"Elegível","Não elegível")</x:f>
        <x:v>Elegível</x:v>
      </x:c>
    </x:row>
    <x:row r="83" ht="54" customHeight="1">
      <x:c r="A83" s="15" t="str">
        <x:v>PAC-082</x:v>
      </x:c>
      <x:c r="B83" s="15" t="n">
        <x:v>45</x:v>
      </x:c>
      <x:c r="C83" s="15" t="str">
        <x:v>M</x:v>
      </x:c>
      <x:c r="D83" s="15" t="str">
        <x:v>Diabetes mellitus tipo 2</x:v>
      </x:c>
      <x:c r="E83" s="15" t="str">
        <x:v>Hipertensão arterial sistêmica</x:v>
      </x:c>
      <x:c r="F83" s="18" t="n">
        <x:v>9.1</x:v>
      </x:c>
      <x:c r="G83" s="20" t="n">
        <x:v>1.09</x:v>
      </x:c>
      <x:c r="H83" s="15" t="n">
        <x:v>189</x:v>
      </x:c>
      <x:c r="I83" s="18" t="n">
        <x:v>39.2</x:v>
      </x:c>
      <x:c r="J83" s="15" t="str">
        <x:v>Metformina XR 1.000 mg à noite; Sinvastatina 20 mg à noite</x:v>
      </x:c>
      <x:c r="K83" s="15" t="str">
        <x:v>Não</x:v>
      </x:c>
      <x:c r="L83" s="15" t="str">
        <x:v>Não</x:v>
      </x:c>
      <x:c r="M83" s="22" t="n">
        <x:v>46150</x:v>
      </x:c>
      <x:c r="N83" s="15" t="str">
        <x:v>Retorna para seguimento de diabetes mellitus tipo 2. 45 anos, sexo M. Relata boa adesão ao tratamento prescrito. Exames recentes: HbA1c 9.1%, glicemia de jejum 189 mg/dL, creatinina 1.09 mg/dL. IMC 39.2 kg/m². Em uso de Metformina XR 1.000 mg à noite; Sinvastatina 20 mg à noite. Nega poliúria, polidipsia ou perda ponderal recente. Orientada manutenção do seguimento e controle laboratorial.</x:v>
      </x:c>
      <x:c r="O83" s="15" t="str">
        <x:v>Elegível</x:v>
      </x:c>
      <x:c r="P83" s="15" t="str">
        <x:v>Critérios claramente atendidos</x:v>
      </x:c>
      <x:c r="Q83" s="15" t="str">
        <x:f>IF(AND(B83&gt;=30,B83&lt;=70,F83&gt;=7,F83&lt;=10.5,G83&lt;=1.5,I83&gt;=25,I83&lt;=45,OR(ISNUMBER(SEARCH("diabetes",D83)),ISNUMBER(SEARCH("DM",D83))),ISNUMBER(SEARCH("metformina",J83)),K83="Não",L83="Não"),"Elegível","Não elegível")</x:f>
        <x:v>Elegível</x:v>
      </x:c>
    </x:row>
    <x:row r="84" ht="54" customHeight="1">
      <x:c r="A84" s="15" t="str">
        <x:v>PAC-083</x:v>
      </x:c>
      <x:c r="B84" s="15" t="n">
        <x:v>47</x:v>
      </x:c>
      <x:c r="C84" s="15" t="str">
        <x:v>M</x:v>
      </x:c>
      <x:c r="D84" s="15" t="str">
        <x:v>Diabetes tipo 2</x:v>
      </x:c>
      <x:c r="E84" s="15" t="str">
        <x:v>Doença do refluxo gastroesofágico</x:v>
      </x:c>
      <x:c r="F84" s="18" t="n">
        <x:v>7.6</x:v>
      </x:c>
      <x:c r="G84" s="20" t="n">
        <x:v>0.75</x:v>
      </x:c>
      <x:c r="H84" s="15" t="n">
        <x:v>170</x:v>
      </x:c>
      <x:c r="I84" s="18" t="n">
        <x:v>40.2</x:v>
      </x:c>
      <x:c r="J84" s="15" t="str">
        <x:v>Metformina 850 mg 2x/dia; Levotiroxina 75 mcg/dia</x:v>
      </x:c>
      <x:c r="K84" s="15" t="str">
        <x:v>Não</x:v>
      </x:c>
      <x:c r="L84" s="15" t="str">
        <x:v>Não</x:v>
      </x:c>
      <x:c r="M84" s="22" t="n">
        <x:v>46213</x:v>
      </x:c>
      <x:c r="N84" s="15" t="str">
        <x:v>Retorna para seguimento de diabetes mellitus tipo 2. 47 anos, sexo M. Refere adesão parcial às medidas não farmacológicas. Exames recentes: HbA1c 7.6%, glicemia de jejum 170 mg/dL, creatinina 0.75 mg/dL. IMC 40.2 kg/m². Em uso de Metformina 850 mg 2x/dia; Levotiroxina 75 mcg/dia. Sem sintomas sugestivos de descompensação aguda. Mantida terapêutica atual até reavaliação.</x:v>
      </x:c>
      <x:c r="O84" s="15" t="str">
        <x:v>Elegível</x:v>
      </x:c>
      <x:c r="P84" s="15" t="str">
        <x:v>Critérios claramente atendidos</x:v>
      </x:c>
      <x:c r="Q84" s="15" t="str">
        <x:f>IF(AND(B84&gt;=30,B84&lt;=70,F84&gt;=7,F84&lt;=10.5,G84&lt;=1.5,I84&gt;=25,I84&lt;=45,OR(ISNUMBER(SEARCH("diabetes",D84)),ISNUMBER(SEARCH("DM",D84))),ISNUMBER(SEARCH("metformina",J84)),K84="Não",L84="Não"),"Elegível","Não elegível")</x:f>
        <x:v>Elegível</x:v>
      </x:c>
    </x:row>
    <x:row r="85" ht="54" customHeight="1">
      <x:c r="A85" s="15" t="str">
        <x:v>PAC-084</x:v>
      </x:c>
      <x:c r="B85" s="15" t="n">
        <x:v>45</x:v>
      </x:c>
      <x:c r="C85" s="15" t="str">
        <x:v>F</x:v>
      </x:c>
      <x:c r="D85" s="15" t="str">
        <x:v>Diabetes tipo 2</x:v>
      </x:c>
      <x:c r="E85" s="15" t="str">
        <x:v>Dislipidemia</x:v>
      </x:c>
      <x:c r="F85" s="18" t="n">
        <x:v>8</x:v>
      </x:c>
      <x:c r="G85" s="20" t="n">
        <x:v>1.11</x:v>
      </x:c>
      <x:c r="H85" s="15" t="n">
        <x:v>179</x:v>
      </x:c>
      <x:c r="I85" s="18" t="n">
        <x:v>41.9</x:v>
      </x:c>
      <x:c r="J85" s="15" t="str">
        <x:v>Metformina XR 500 mg 2x/dia; Sinvastatina 20 mg à noite</x:v>
      </x:c>
      <x:c r="K85" s="15" t="str">
        <x:v>Não</x:v>
      </x:c>
      <x:c r="L85" s="15" t="str">
        <x:v>Não</x:v>
      </x:c>
      <x:c r="M85" s="22" t="n">
        <x:v>46050</x:v>
      </x:c>
      <x:c r="N85" s="15" t="str">
        <x:v>Retorna para seguimento de diabetes mellitus tipo 2. 45 anos, sexo F. Informa uso irregular da dieta, porém mantém as medicações. Exames recentes: HbA1c 8.0%, glicemia de jejum 179 mg/dL, creatinina 1.11 mg/dL. IMC 41.9 kg/m². Em uso de Metformina XR 500 mg 2x/dia; Sinvastatina 20 mg à noite. Nega poliúria, polidipsia ou perda ponderal recente. Orientada manutenção do seguimento e controle laboratorial.</x:v>
      </x:c>
      <x:c r="O85" s="15" t="str">
        <x:v>Elegível</x:v>
      </x:c>
      <x:c r="P85" s="15" t="str">
        <x:v>Critérios claramente atendidos</x:v>
      </x:c>
      <x:c r="Q85" s="15" t="str">
        <x:f>IF(AND(B85&gt;=30,B85&lt;=70,F85&gt;=7,F85&lt;=10.5,G85&lt;=1.5,I85&gt;=25,I85&lt;=45,OR(ISNUMBER(SEARCH("diabetes",D85)),ISNUMBER(SEARCH("DM",D85))),ISNUMBER(SEARCH("metformina",J85)),K85="Não",L85="Não"),"Elegível","Não elegível")</x:f>
        <x:v>Elegível</x:v>
      </x:c>
    </x:row>
    <x:row r="86" ht="54" customHeight="1">
      <x:c r="A86" s="15" t="str">
        <x:v>PAC-085</x:v>
      </x:c>
      <x:c r="B86" s="15" t="n">
        <x:v>43</x:v>
      </x:c>
      <x:c r="C86" s="15" t="str">
        <x:v>M</x:v>
      </x:c>
      <x:c r="D86" s="15" t="str">
        <x:v>Diabetes mellitus tipo 2</x:v>
      </x:c>
      <x:c r="E86" s="15" t="str">
        <x:v>Hipotireoidismo</x:v>
      </x:c>
      <x:c r="F86" s="18" t="n">
        <x:v>10.1</x:v>
      </x:c>
      <x:c r="G86" s="20" t="n">
        <x:v>1.06</x:v>
      </x:c>
      <x:c r="H86" s="15" t="n">
        <x:v>201</x:v>
      </x:c>
      <x:c r="I86" s="18" t="n">
        <x:v>36.8</x:v>
      </x:c>
      <x:c r="J86" s="15" t="str">
        <x:v>Metformina 500 mg 2x/dia</x:v>
      </x:c>
      <x:c r="K86" s="15" t="str">
        <x:v>Não</x:v>
      </x:c>
      <x:c r="L86" s="15" t="str">
        <x:v>Não</x:v>
      </x:c>
      <x:c r="M86" s="22" t="n">
        <x:v>46130</x:v>
      </x:c>
      <x:c r="N86" s="15" t="str">
        <x:v>Paciente com diagnóstico prévio de DM2, em seguimento regular. 43 anos, sexo M. Refere uso regular das medicações. Exames recentes: HbA1c 10.1%, glicemia de jejum 201 mg/dL, creatinina 1.06 mg/dL. IMC 36.8 kg/m². Em uso de Metformina 500 mg 2x/dia. Nega hipoglicemias sintomáticas. Mantida terapêutica atual até reavaliação.</x:v>
      </x:c>
      <x:c r="O86" s="15" t="str">
        <x:v>Elegível</x:v>
      </x:c>
      <x:c r="P86" s="15" t="str">
        <x:v>Critérios claramente atendidos</x:v>
      </x:c>
      <x:c r="Q86" s="15" t="str">
        <x:f>IF(AND(B86&gt;=30,B86&lt;=70,F86&gt;=7,F86&lt;=10.5,G86&lt;=1.5,I86&gt;=25,I86&lt;=45,OR(ISNUMBER(SEARCH("diabetes",D86)),ISNUMBER(SEARCH("DM",D86))),ISNUMBER(SEARCH("metformina",J86)),K86="Não",L86="Não"),"Elegível","Não elegível")</x:f>
        <x:v>Elegível</x:v>
      </x:c>
    </x:row>
    <x:row r="87" ht="54" customHeight="1">
      <x:c r="A87" s="15" t="str">
        <x:v>PAC-086</x:v>
      </x:c>
      <x:c r="B87" s="15" t="n">
        <x:v>39</x:v>
      </x:c>
      <x:c r="C87" s="15" t="str">
        <x:v>M</x:v>
      </x:c>
      <x:c r="D87" s="15" t="str">
        <x:v>Diabetes mellitus tipo II</x:v>
      </x:c>
      <x:c r="E87" s="15" t="str">
        <x:v>Dislipidemia</x:v>
      </x:c>
      <x:c r="F87" s="18" t="n">
        <x:v>8.3</x:v>
      </x:c>
      <x:c r="G87" s="20" t="n">
        <x:v>0.94</x:v>
      </x:c>
      <x:c r="H87" s="15" t="n">
        <x:v>155</x:v>
      </x:c>
      <x:c r="I87" s="18" t="n">
        <x:v>30.7</x:v>
      </x:c>
      <x:c r="J87" s="15" t="str">
        <x:v>Metformina XR 500 mg 2x/dia; Levotiroxina 75 mcg/dia</x:v>
      </x:c>
      <x:c r="K87" s="15" t="str">
        <x:v>Não</x:v>
      </x:c>
      <x:c r="L87" s="15" t="str">
        <x:v>Não</x:v>
      </x:c>
      <x:c r="M87" s="22" t="n">
        <x:v>46100</x:v>
      </x:c>
      <x:c r="N87" s="15" t="str">
        <x:v>Paciente em acompanhamento ambulatorial por DM2. 39 anos, sexo M. Refere uso regular das medicações. Exames recentes: HbA1c 8.3%, glicemia de jejum 155 mg/dL, creatinina 0.94 mg/dL. IMC 30.7 kg/m². Em uso de Metformina XR 500 mg 2x/dia; Levotiroxina 75 mcg/dia. Sem sintomas sugestivos de descompensação aguda. Mantida terapêutica atual até reavaliação.</x:v>
      </x:c>
      <x:c r="O87" s="15" t="str">
        <x:v>Elegível</x:v>
      </x:c>
      <x:c r="P87" s="15" t="str">
        <x:v>Critérios claramente atendidos</x:v>
      </x:c>
      <x:c r="Q87" s="15" t="str">
        <x:f>IF(AND(B87&gt;=30,B87&lt;=70,F87&gt;=7,F87&lt;=10.5,G87&lt;=1.5,I87&gt;=25,I87&lt;=45,OR(ISNUMBER(SEARCH("diabetes",D87)),ISNUMBER(SEARCH("DM",D87))),ISNUMBER(SEARCH("metformina",J87)),K87="Não",L87="Não"),"Elegível","Não elegível")</x:f>
        <x:v>Elegível</x:v>
      </x:c>
    </x:row>
    <x:row r="88" ht="54" customHeight="1">
      <x:c r="A88" s="15" t="str">
        <x:v>PAC-087</x:v>
      </x:c>
      <x:c r="B88" s="15" t="n">
        <x:v>45</x:v>
      </x:c>
      <x:c r="C88" s="15" t="str">
        <x:v>F</x:v>
      </x:c>
      <x:c r="D88" s="15" t="str">
        <x:v>Diabetes mellitus tipo 2</x:v>
      </x:c>
      <x:c r="E88" s="15" t="str">
        <x:v>Obesidade</x:v>
      </x:c>
      <x:c r="F88" s="18" t="n">
        <x:v>9</x:v>
      </x:c>
      <x:c r="G88" s="20" t="n">
        <x:v>0.94</x:v>
      </x:c>
      <x:c r="H88" s="15" t="n">
        <x:v>163</x:v>
      </x:c>
      <x:c r="I88" s="18" t="n">
        <x:v>26.4</x:v>
      </x:c>
      <x:c r="J88" s="15" t="str">
        <x:v>Metformina XR 1.000 mg à noite; Atorvastatina 20 mg à noite</x:v>
      </x:c>
      <x:c r="K88" s="15" t="str">
        <x:v>Não</x:v>
      </x:c>
      <x:c r="L88" s="15" t="str">
        <x:v>Não</x:v>
      </x:c>
      <x:c r="M88" s="22" t="n">
        <x:v>46160</x:v>
      </x:c>
      <x:c r="N88" s="15" t="str">
        <x:v>Paciente em acompanhamento ambulatorial por DM2. 45 anos, sexo F. Relata boa adesão ao tratamento prescrito. Exames recentes: HbA1c 9.0%, glicemia de jejum 163 mg/dL, creatinina 0.94 mg/dL. IMC 26.4 kg/m². Em uso de Metformina XR 1.000 mg à noite; Atorvastatina 20 mg à noite. Nega hipoglicemias sintomáticas. Programado retorno com novos exames laboratoriais.</x:v>
      </x:c>
      <x:c r="O88" s="15" t="str">
        <x:v>Elegível</x:v>
      </x:c>
      <x:c r="P88" s="15" t="str">
        <x:v>Critérios claramente atendidos</x:v>
      </x:c>
      <x:c r="Q88" s="15" t="str">
        <x:f>IF(AND(B88&gt;=30,B88&lt;=70,F88&gt;=7,F88&lt;=10.5,G88&lt;=1.5,I88&gt;=25,I88&lt;=45,OR(ISNUMBER(SEARCH("diabetes",D88)),ISNUMBER(SEARCH("DM",D88))),ISNUMBER(SEARCH("metformina",J88)),K88="Não",L88="Não"),"Elegível","Não elegível")</x:f>
        <x:v>Elegível</x:v>
      </x:c>
    </x:row>
    <x:row r="89" ht="54" customHeight="1">
      <x:c r="A89" s="15" t="str">
        <x:v>PAC-088</x:v>
      </x:c>
      <x:c r="B89" s="15" t="n">
        <x:v>44</x:v>
      </x:c>
      <x:c r="C89" s="15" t="str">
        <x:v>F</x:v>
      </x:c>
      <x:c r="D89" s="15" t="str">
        <x:v>Diabetes tipo 2</x:v>
      </x:c>
      <x:c r="E89" s="15" t="str">
        <x:v>Sem comorbidades relevantes</x:v>
      </x:c>
      <x:c r="F89" s="18" t="n">
        <x:v>9.8</x:v>
      </x:c>
      <x:c r="G89" s="20" t="n">
        <x:v>1.06</x:v>
      </x:c>
      <x:c r="H89" s="15" t="n">
        <x:v>193</x:v>
      </x:c>
      <x:c r="I89" s="18" t="n">
        <x:v>28.3</x:v>
      </x:c>
      <x:c r="J89" s="15" t="str">
        <x:v>Metformina 500 mg 2x/dia; Amlodipino 5 mg/dia</x:v>
      </x:c>
      <x:c r="K89" s="15" t="str">
        <x:v>Não</x:v>
      </x:c>
      <x:c r="L89" s="15" t="str">
        <x:v>Não</x:v>
      </x:c>
      <x:c r="M89" s="22" t="n">
        <x:v>46031</x:v>
      </x:c>
      <x:c r="N89" s="15" t="str">
        <x:v>Reavaliação clínica de paciente com diabetes tipo 2. 44 anos, sexo F. Nega interrupção recente das medicações. Exames recentes: HbA1c 9.8%, glicemia de jejum 193 mg/dL, creatinina 1.06 mg/dL. IMC 28.3 kg/m². Em uso de Metformina 500 mg 2x/dia; Amlodipino 5 mg/dia. Sem queixas agudas no momento. Mantido acompanhamento e reforçadas medidas de estilo de vida.</x:v>
      </x:c>
      <x:c r="O89" s="15" t="str">
        <x:v>Elegível</x:v>
      </x:c>
      <x:c r="P89" s="15" t="str">
        <x:v>Critérios claramente atendidos</x:v>
      </x:c>
      <x:c r="Q89" s="15" t="str">
        <x:f>IF(AND(B89&gt;=30,B89&lt;=70,F89&gt;=7,F89&lt;=10.5,G89&lt;=1.5,I89&gt;=25,I89&lt;=45,OR(ISNUMBER(SEARCH("diabetes",D89)),ISNUMBER(SEARCH("DM",D89))),ISNUMBER(SEARCH("metformina",J89)),K89="Não",L89="Não"),"Elegível","Não elegível")</x:f>
        <x:v>Elegível</x:v>
      </x:c>
    </x:row>
    <x:row r="90" ht="54" customHeight="1">
      <x:c r="A90" s="15" t="str">
        <x:v>PAC-089</x:v>
      </x:c>
      <x:c r="B90" s="15" t="n">
        <x:v>66</x:v>
      </x:c>
      <x:c r="C90" s="15" t="str">
        <x:v>F</x:v>
      </x:c>
      <x:c r="D90" s="15" t="str">
        <x:v>Diabetes mellitus tipo II</x:v>
      </x:c>
      <x:c r="E90" s="15" t="str">
        <x:v>Obesidade</x:v>
      </x:c>
      <x:c r="F90" s="18" t="n">
        <x:v>7.4</x:v>
      </x:c>
      <x:c r="G90" s="20" t="n">
        <x:v>0.8</x:v>
      </x:c>
      <x:c r="H90" s="15" t="n">
        <x:v>148</x:v>
      </x:c>
      <x:c r="I90" s="18" t="n">
        <x:v>30.2</x:v>
      </x:c>
      <x:c r="J90" s="15" t="str">
        <x:v>Metformina 1.000 mg 2x/dia; Losartana 50 mg/dia; Atorvastatina 20 mg/noite</x:v>
      </x:c>
      <x:c r="K90" s="15" t="str">
        <x:v>Não</x:v>
      </x:c>
      <x:c r="L90" s="15" t="str">
        <x:v>Não</x:v>
      </x:c>
      <x:c r="M90" s="22" t="n">
        <x:v>46244</x:v>
      </x:c>
      <x:c r="N90" s="15" t="str">
        <x:v>Paciente com diagnóstico prévio de DM2, em seguimento regular. 66 anos, sexo F. Refere uso regular das medicações. Exames recentes: HbA1c 7.4%, glicemia de jejum 148 mg/dL, creatinina 0.80 mg/dL. IMC 30.2 kg/m². Em uso de Metformina 1.000 mg 2x/dia; Losartana 50 mg/dia; Atorvastatina 20 mg/noite. Nega poliúria, polidipsia ou perda ponderal recente. Mantida terapêutica atual até reavaliação.</x:v>
      </x:c>
      <x:c r="O90" s="15" t="str">
        <x:v>Elegível</x:v>
      </x:c>
      <x:c r="P90" s="15" t="str">
        <x:v>Critérios claramente atendidos</x:v>
      </x:c>
      <x:c r="Q90" s="15" t="str">
        <x:f>IF(AND(B90&gt;=30,B90&lt;=70,F90&gt;=7,F90&lt;=10.5,G90&lt;=1.5,I90&gt;=25,I90&lt;=45,OR(ISNUMBER(SEARCH("diabetes",D90)),ISNUMBER(SEARCH("DM",D90))),ISNUMBER(SEARCH("metformina",J90)),K90="Não",L90="Não"),"Elegível","Não elegível")</x:f>
        <x:v>Elegível</x:v>
      </x:c>
    </x:row>
    <x:row r="91" ht="54" customHeight="1">
      <x:c r="A91" s="15" t="str">
        <x:v>PAC-090</x:v>
      </x:c>
      <x:c r="B91" s="15" t="n">
        <x:v>65</x:v>
      </x:c>
      <x:c r="C91" s="15" t="str">
        <x:v>M</x:v>
      </x:c>
      <x:c r="D91" s="15" t="str">
        <x:v>DM tipo II</x:v>
      </x:c>
      <x:c r="E91" s="15" t="str">
        <x:v>Sem comorbidades relevantes</x:v>
      </x:c>
      <x:c r="F91" s="18" t="n">
        <x:v>8.8</x:v>
      </x:c>
      <x:c r="G91" s="20" t="n">
        <x:v>0.92</x:v>
      </x:c>
      <x:c r="H91" s="15" t="n">
        <x:v>173</x:v>
      </x:c>
      <x:c r="I91" s="18" t="n">
        <x:v>42.4</x:v>
      </x:c>
      <x:c r="J91" s="15" t="str">
        <x:v>Metformina 1.000 mg 2x/dia</x:v>
      </x:c>
      <x:c r="K91" s="15" t="str">
        <x:v>Não</x:v>
      </x:c>
      <x:c r="L91" s="15" t="str">
        <x:v>Não</x:v>
      </x:c>
      <x:c r="M91" s="22" t="n">
        <x:v>46077</x:v>
      </x:c>
      <x:c r="N91" s="15" t="str">
        <x:v>Em consulta de rotina para controle metabólico. 65 anos, sexo M. Nega interrupção recente das medicações. Exames recentes: HbA1c 8.8%, glicemia de jejum 173 mg/dL, creatinina 0.92 mg/dL. IMC 42.4 kg/m². Em uso de Metformina 1.000 mg 2x/dia. Sem sintomas sugestivos de descompensação aguda. Mantido acompanhamento e reforçadas medidas de estilo de vida.</x:v>
      </x:c>
      <x:c r="O91" s="15" t="str">
        <x:v>Elegível</x:v>
      </x:c>
      <x:c r="P91" s="15" t="str">
        <x:v>Critérios claramente atendidos</x:v>
      </x:c>
      <x:c r="Q91" s="15" t="str">
        <x:f>IF(AND(B91&gt;=30,B91&lt;=70,F91&gt;=7,F91&lt;=10.5,G91&lt;=1.5,I91&gt;=25,I91&lt;=45,OR(ISNUMBER(SEARCH("diabetes",D91)),ISNUMBER(SEARCH("DM",D91))),ISNUMBER(SEARCH("metformina",J91)),K91="Não",L91="Não"),"Elegível","Não elegível")</x:f>
        <x:v>Elegível</x:v>
      </x:c>
    </x:row>
    <x:row r="92" ht="54" customHeight="1">
      <x:c r="A92" s="15" t="str">
        <x:v>PAC-091</x:v>
      </x:c>
      <x:c r="B92" s="15" t="n">
        <x:v>66</x:v>
      </x:c>
      <x:c r="C92" s="15" t="str">
        <x:v>M</x:v>
      </x:c>
      <x:c r="D92" s="15" t="str">
        <x:v>DM tipo II</x:v>
      </x:c>
      <x:c r="E92" s="15" t="str">
        <x:v>Osteoartrite de joelhos</x:v>
      </x:c>
      <x:c r="F92" s="18" t="n">
        <x:v>9.3</x:v>
      </x:c>
      <x:c r="G92" s="20" t="n">
        <x:v>0.69</x:v>
      </x:c>
      <x:c r="H92" s="15" t="n">
        <x:v>185</x:v>
      </x:c>
      <x:c r="I92" s="18" t="n">
        <x:v>30.3</x:v>
      </x:c>
      <x:c r="J92" s="15" t="str">
        <x:v>Metformina 850 mg 2x/dia; Losartana 50 mg 2x/dia</x:v>
      </x:c>
      <x:c r="K92" s="15" t="str">
        <x:v>Não</x:v>
      </x:c>
      <x:c r="L92" s="15" t="str">
        <x:v>Não</x:v>
      </x:c>
      <x:c r="M92" s="22" t="n">
        <x:v>46124</x:v>
      </x:c>
      <x:c r="N92" s="15" t="str">
        <x:v>Retorna para seguimento de diabetes mellitus tipo 2. 66 anos, sexo M. Relata boa adesão ao tratamento prescrito. Exames recentes: HbA1c 9.3%, glicemia de jejum 185 mg/dL, creatinina 0.69 mg/dL. IMC 30.3 kg/m². Em uso de Metformina 850 mg 2x/dia; Losartana 50 mg 2x/dia. Nega hipoglicemias sintomáticas. Reforçadas orientações dietéticas e de atividade física.</x:v>
      </x:c>
      <x:c r="O92" s="15" t="str">
        <x:v>Elegível</x:v>
      </x:c>
      <x:c r="P92" s="15" t="str">
        <x:v>Critérios claramente atendidos</x:v>
      </x:c>
      <x:c r="Q92" s="15" t="str">
        <x:f>IF(AND(B92&gt;=30,B92&lt;=70,F92&gt;=7,F92&lt;=10.5,G92&lt;=1.5,I92&gt;=25,I92&lt;=45,OR(ISNUMBER(SEARCH("diabetes",D92)),ISNUMBER(SEARCH("DM",D92))),ISNUMBER(SEARCH("metformina",J92)),K92="Não",L92="Não"),"Elegível","Não elegível")</x:f>
        <x:v>Elegível</x:v>
      </x:c>
    </x:row>
    <x:row r="93" ht="54" customHeight="1">
      <x:c r="A93" s="15" t="str">
        <x:v>PAC-092</x:v>
      </x:c>
      <x:c r="B93" s="15" t="n">
        <x:v>49</x:v>
      </x:c>
      <x:c r="C93" s="15" t="str">
        <x:v>M</x:v>
      </x:c>
      <x:c r="D93" s="15" t="str">
        <x:v>Diabetes mellitus tipo II</x:v>
      </x:c>
      <x:c r="E93" s="15" t="str">
        <x:v>Obesidade</x:v>
      </x:c>
      <x:c r="F93" s="18" t="n">
        <x:v>9.5</x:v>
      </x:c>
      <x:c r="G93" s="20" t="n">
        <x:v>1.18</x:v>
      </x:c>
      <x:c r="H93" s="15" t="n">
        <x:v>182</x:v>
      </x:c>
      <x:c r="I93" s="18" t="n">
        <x:v>30.5</x:v>
      </x:c>
      <x:c r="J93" s="15" t="str">
        <x:v>Metformina 500 mg 2x/dia; Sinvastatina 20 mg à noite</x:v>
      </x:c>
      <x:c r="K93" s="15" t="str">
        <x:v>Não</x:v>
      </x:c>
      <x:c r="L93" s="15" t="str">
        <x:v>Não</x:v>
      </x:c>
      <x:c r="M93" s="22" t="n">
        <x:v>46254</x:v>
      </x:c>
      <x:c r="N93" s="15" t="str">
        <x:v>Reavaliação clínica de paciente com diabetes tipo 2. 49 anos, sexo M. Informa uso irregular da dieta, porém mantém as medicações. Exames recentes: HbA1c 9.5%, glicemia de jejum 182 mg/dL, creatinina 1.18 mg/dL. IMC 30.5 kg/m². Em uso de Metformina 500 mg 2x/dia; Sinvastatina 20 mg à noite. Sem sintomas sugestivos de descompensação aguda. Reforçadas orientações dietéticas e de atividade física.</x:v>
      </x:c>
      <x:c r="O93" s="15" t="str">
        <x:v>Elegível</x:v>
      </x:c>
      <x:c r="P93" s="15" t="str">
        <x:v>Critérios claramente atendidos</x:v>
      </x:c>
      <x:c r="Q93" s="15" t="str">
        <x:f>IF(AND(B93&gt;=30,B93&lt;=70,F93&gt;=7,F93&lt;=10.5,G93&lt;=1.5,I93&gt;=25,I93&lt;=45,OR(ISNUMBER(SEARCH("diabetes",D93)),ISNUMBER(SEARCH("DM",D93))),ISNUMBER(SEARCH("metformina",J93)),K93="Não",L93="Não"),"Elegível","Não elegível")</x:f>
        <x:v>Elegível</x:v>
      </x:c>
    </x:row>
    <x:row r="94" ht="54" customHeight="1">
      <x:c r="A94" s="15" t="str">
        <x:v>PAC-093</x:v>
      </x:c>
      <x:c r="B94" s="15" t="n">
        <x:v>36</x:v>
      </x:c>
      <x:c r="C94" s="15" t="str">
        <x:v>F</x:v>
      </x:c>
      <x:c r="D94" s="15" t="str">
        <x:v>Diabetes mellitus tipo 2</x:v>
      </x:c>
      <x:c r="E94" s="15" t="str">
        <x:v>Hipotireoidismo</x:v>
      </x:c>
      <x:c r="F94" s="18" t="n">
        <x:v>9.4</x:v>
      </x:c>
      <x:c r="G94" s="20" t="n">
        <x:v>1.18</x:v>
      </x:c>
      <x:c r="H94" s="15" t="n">
        <x:v>199</x:v>
      </x:c>
      <x:c r="I94" s="18" t="n">
        <x:v>30.4</x:v>
      </x:c>
      <x:c r="J94" s="15" t="str">
        <x:v>Metformina 1.000 mg 2x/dia; Amlodipino 5 mg/dia</x:v>
      </x:c>
      <x:c r="K94" s="15" t="str">
        <x:v>Não</x:v>
      </x:c>
      <x:c r="L94" s="15" t="str">
        <x:v>Não</x:v>
      </x:c>
      <x:c r="M94" s="22" t="n">
        <x:v>46219</x:v>
      </x:c>
      <x:c r="N94" s="15" t="str">
        <x:v>Em consulta de rotina para controle metabólico. 36 anos, sexo F. Relata boa adesão ao tratamento prescrito. Exames recentes: HbA1c 9.4%, glicemia de jejum 199 mg/dL, creatinina 1.18 mg/dL. IMC 30.4 kg/m². Em uso de Metformina 1.000 mg 2x/dia; Amlodipino 5 mg/dia. Nega poliúria, polidipsia ou perda ponderal recente. Reforçadas orientações dietéticas e de atividade física.</x:v>
      </x:c>
      <x:c r="O94" s="15" t="str">
        <x:v>Elegível</x:v>
      </x:c>
      <x:c r="P94" s="15" t="str">
        <x:v>Critérios claramente atendidos</x:v>
      </x:c>
      <x:c r="Q94" s="15" t="str">
        <x:f>IF(AND(B94&gt;=30,B94&lt;=70,F94&gt;=7,F94&lt;=10.5,G94&lt;=1.5,I94&gt;=25,I94&lt;=45,OR(ISNUMBER(SEARCH("diabetes",D94)),ISNUMBER(SEARCH("DM",D94))),ISNUMBER(SEARCH("metformina",J94)),K94="Não",L94="Não"),"Elegível","Não elegível")</x:f>
        <x:v>Elegível</x:v>
      </x:c>
    </x:row>
    <x:row r="95" ht="54" customHeight="1">
      <x:c r="A95" s="15" t="str">
        <x:v>PAC-094</x:v>
      </x:c>
      <x:c r="B95" s="15" t="n">
        <x:v>38</x:v>
      </x:c>
      <x:c r="C95" s="15" t="str">
        <x:v>M</x:v>
      </x:c>
      <x:c r="D95" s="15" t="str">
        <x:v>Diabetes mellitus tipo 2</x:v>
      </x:c>
      <x:c r="E95" s="15" t="str">
        <x:v>Doença do refluxo gastroesofágico</x:v>
      </x:c>
      <x:c r="F95" s="18" t="n">
        <x:v>9.5</x:v>
      </x:c>
      <x:c r="G95" s="20" t="n">
        <x:v>1.2</x:v>
      </x:c>
      <x:c r="H95" s="15" t="n">
        <x:v>170</x:v>
      </x:c>
      <x:c r="I95" s="18" t="n">
        <x:v>26.1</x:v>
      </x:c>
      <x:c r="J95" s="15" t="str">
        <x:v>Metformina 500 mg 2x/dia; Sinvastatina 20 mg à noite</x:v>
      </x:c>
      <x:c r="K95" s="15" t="str">
        <x:v>Não</x:v>
      </x:c>
      <x:c r="L95" s="15" t="str">
        <x:v>Não</x:v>
      </x:c>
      <x:c r="M95" s="22" t="n">
        <x:v>46093</x:v>
      </x:c>
      <x:c r="N95" s="15" t="str">
        <x:v>Retorna para seguimento de diabetes mellitus tipo 2. 38 anos, sexo M. Refere uso regular das medicações. Exames recentes: HbA1c 9.5%, glicemia de jejum 170 mg/dL, creatinina 1.20 mg/dL. IMC 26.1 kg/m². Em uso de Metformina 500 mg 2x/dia; Sinvastatina 20 mg à noite. Nega hipoglicemias sintomáticas. Reforçadas orientações dietéticas e de atividade física.</x:v>
      </x:c>
      <x:c r="O95" s="15" t="str">
        <x:v>Elegível</x:v>
      </x:c>
      <x:c r="P95" s="15" t="str">
        <x:v>Critérios claramente atendidos</x:v>
      </x:c>
      <x:c r="Q95" s="15" t="str">
        <x:f>IF(AND(B95&gt;=30,B95&lt;=70,F95&gt;=7,F95&lt;=10.5,G95&lt;=1.5,I95&gt;=25,I95&lt;=45,OR(ISNUMBER(SEARCH("diabetes",D95)),ISNUMBER(SEARCH("DM",D95))),ISNUMBER(SEARCH("metformina",J95)),K95="Não",L95="Não"),"Elegível","Não elegível")</x:f>
        <x:v>Elegível</x:v>
      </x:c>
    </x:row>
    <x:row r="96" ht="54" customHeight="1">
      <x:c r="A96" s="15" t="str">
        <x:v>PAC-095</x:v>
      </x:c>
      <x:c r="B96" s="15" t="n">
        <x:v>45</x:v>
      </x:c>
      <x:c r="C96" s="15" t="str">
        <x:v>M</x:v>
      </x:c>
      <x:c r="D96" s="15" t="str">
        <x:v>Diabetes mellitus tipo 2</x:v>
      </x:c>
      <x:c r="E96" s="15" t="str">
        <x:v>Obesidade</x:v>
      </x:c>
      <x:c r="F96" s="18" t="n">
        <x:v>9.9</x:v>
      </x:c>
      <x:c r="G96" s="20" t="n">
        <x:v>0.73</x:v>
      </x:c>
      <x:c r="H96" s="15" t="n">
        <x:v>198</x:v>
      </x:c>
      <x:c r="I96" s="18" t="n">
        <x:v>31.4</x:v>
      </x:c>
      <x:c r="J96" s="15" t="str">
        <x:v>Metformina XR 500 mg 2x/dia; Amlodipino 5 mg/dia</x:v>
      </x:c>
      <x:c r="K96" s="15" t="str">
        <x:v>Não</x:v>
      </x:c>
      <x:c r="L96" s="15" t="str">
        <x:v>Não</x:v>
      </x:c>
      <x:c r="M96" s="22" t="n">
        <x:v>46074</x:v>
      </x:c>
      <x:c r="N96" s="15" t="str">
        <x:v>Reavaliação clínica de paciente com diabetes tipo 2. 45 anos, sexo M. Refere uso regular das medicações. Exames recentes: HbA1c 9.9%, glicemia de jejum 198 mg/dL, creatinina 0.73 mg/dL. IMC 31.4 kg/m². Em uso de Metformina XR 500 mg 2x/dia; Amlodipino 5 mg/dia. Nega hipoglicemias sintomáticas. Orientada manutenção do seguimento e controle laboratorial.</x:v>
      </x:c>
      <x:c r="O96" s="15" t="str">
        <x:v>Elegível</x:v>
      </x:c>
      <x:c r="P96" s="15" t="str">
        <x:v>Critérios claramente atendidos</x:v>
      </x:c>
      <x:c r="Q96" s="15" t="str">
        <x:f>IF(AND(B96&gt;=30,B96&lt;=70,F96&gt;=7,F96&lt;=10.5,G96&lt;=1.5,I96&gt;=25,I96&lt;=45,OR(ISNUMBER(SEARCH("diabetes",D96)),ISNUMBER(SEARCH("DM",D96))),ISNUMBER(SEARCH("metformina",J96)),K96="Não",L96="Não"),"Elegível","Não elegível")</x:f>
        <x:v>Elegível</x:v>
      </x:c>
    </x:row>
    <x:row r="97" ht="54" customHeight="1">
      <x:c r="A97" s="15" t="str">
        <x:v>PAC-096</x:v>
      </x:c>
      <x:c r="B97" s="15" t="n">
        <x:v>57</x:v>
      </x:c>
      <x:c r="C97" s="15" t="str">
        <x:v>M</x:v>
      </x:c>
      <x:c r="D97" s="15" t="str">
        <x:v>DM2</x:v>
      </x:c>
      <x:c r="E97" s="15" t="str">
        <x:v>Esteatose hepática</x:v>
      </x:c>
      <x:c r="F97" s="18" t="n">
        <x:v>8.1</x:v>
      </x:c>
      <x:c r="G97" s="20" t="n">
        <x:v>1.01</x:v>
      </x:c>
      <x:c r="H97" s="15" t="n">
        <x:v>184</x:v>
      </x:c>
      <x:c r="I97" s="18" t="n">
        <x:v>27.5</x:v>
      </x:c>
      <x:c r="J97" s="15" t="str">
        <x:v>Metformina XR 1.000 mg à noite; Amlodipino 5 mg/dia</x:v>
      </x:c>
      <x:c r="K97" s="15" t="str">
        <x:v>Não</x:v>
      </x:c>
      <x:c r="L97" s="15" t="str">
        <x:v>Não</x:v>
      </x:c>
      <x:c r="M97" s="22" t="n">
        <x:v>46238</x:v>
      </x:c>
      <x:c r="N97" s="15" t="str">
        <x:v>Paciente com diagnóstico prévio de DM2, em seguimento regular. 57 anos, sexo M. Nega interrupção recente das medicações. Exames recentes: HbA1c 8.1%, glicemia de jejum 184 mg/dL, creatinina 1.01 mg/dL. IMC 27.5 kg/m². Em uso de Metformina XR 1.000 mg à noite; Amlodipino 5 mg/dia. Sem sintomas sugestivos de descompensação aguda. Mantido acompanhamento e reforçadas medidas de estilo de vida.</x:v>
      </x:c>
      <x:c r="O97" s="15" t="str">
        <x:v>Elegível</x:v>
      </x:c>
      <x:c r="P97" s="15" t="str">
        <x:v>Critérios claramente atendidos</x:v>
      </x:c>
      <x:c r="Q97" s="15" t="str">
        <x:f>IF(AND(B97&gt;=30,B97&lt;=70,F97&gt;=7,F97&lt;=10.5,G97&lt;=1.5,I97&gt;=25,I97&lt;=45,OR(ISNUMBER(SEARCH("diabetes",D97)),ISNUMBER(SEARCH("DM",D97))),ISNUMBER(SEARCH("metformina",J97)),K97="Não",L97="Não"),"Elegível","Não elegível")</x:f>
        <x:v>Elegível</x:v>
      </x:c>
    </x:row>
    <x:row r="98" ht="54" customHeight="1">
      <x:c r="A98" s="15" t="str">
        <x:v>PAC-097</x:v>
      </x:c>
      <x:c r="B98" s="15" t="n">
        <x:v>53</x:v>
      </x:c>
      <x:c r="C98" s="15" t="str">
        <x:v>F</x:v>
      </x:c>
      <x:c r="D98" s="15" t="str">
        <x:v>DM2</x:v>
      </x:c>
      <x:c r="E98" s="15" t="str">
        <x:v>Osteoartrite de joelhos</x:v>
      </x:c>
      <x:c r="F98" s="18" t="n">
        <x:v>7.6</x:v>
      </x:c>
      <x:c r="G98" s="20" t="n">
        <x:v>1.09</x:v>
      </x:c>
      <x:c r="H98" s="15" t="n">
        <x:v>166</x:v>
      </x:c>
      <x:c r="I98" s="18" t="n">
        <x:v>42.1</x:v>
      </x:c>
      <x:c r="J98" s="15" t="str">
        <x:v>Metformina 850 mg 2x/dia</x:v>
      </x:c>
      <x:c r="K98" s="15" t="str">
        <x:v>Não</x:v>
      </x:c>
      <x:c r="L98" s="15" t="str">
        <x:v>Não</x:v>
      </x:c>
      <x:c r="M98" s="22" t="n">
        <x:v>46149</x:v>
      </x:c>
      <x:c r="N98" s="15" t="str">
        <x:v>Paciente em acompanhamento ambulatorial por DM2. 53 anos, sexo F. Informa uso irregular da dieta, porém mantém as medicações. Exames recentes: HbA1c 7.6%, glicemia de jejum 166 mg/dL, creatinina 1.09 mg/dL. IMC 42.1 kg/m². Em uso de Metformina 850 mg 2x/dia. Clinicamente estável, sem intercorrências recentes. Mantido acompanhamento e reforçadas medidas de estilo de vida.</x:v>
      </x:c>
      <x:c r="O98" s="15" t="str">
        <x:v>Elegível</x:v>
      </x:c>
      <x:c r="P98" s="15" t="str">
        <x:v>Critérios claramente atendidos</x:v>
      </x:c>
      <x:c r="Q98" s="15" t="str">
        <x:f>IF(AND(B98&gt;=30,B98&lt;=70,F98&gt;=7,F98&lt;=10.5,G98&lt;=1.5,I98&gt;=25,I98&lt;=45,OR(ISNUMBER(SEARCH("diabetes",D98)),ISNUMBER(SEARCH("DM",D98))),ISNUMBER(SEARCH("metformina",J98)),K98="Não",L98="Não"),"Elegível","Não elegível")</x:f>
        <x:v>Elegível</x:v>
      </x:c>
    </x:row>
    <x:row r="99" ht="54" customHeight="1">
      <x:c r="A99" s="15" t="str">
        <x:v>PAC-098</x:v>
      </x:c>
      <x:c r="B99" s="15" t="n">
        <x:v>64</x:v>
      </x:c>
      <x:c r="C99" s="15" t="str">
        <x:v>M</x:v>
      </x:c>
      <x:c r="D99" s="15" t="str">
        <x:v>Diabetes mellitus tipo II</x:v>
      </x:c>
      <x:c r="E99" s="15" t="str">
        <x:v>Esteatose hepática</x:v>
      </x:c>
      <x:c r="F99" s="18" t="n">
        <x:v>8.8</x:v>
      </x:c>
      <x:c r="G99" s="20" t="n">
        <x:v>1.22</x:v>
      </x:c>
      <x:c r="H99" s="15" t="n">
        <x:v>162</x:v>
      </x:c>
      <x:c r="I99" s="18" t="n">
        <x:v>31.2</x:v>
      </x:c>
      <x:c r="J99" s="15" t="str">
        <x:v>Metformina 500 mg 2x/dia; Sinvastatina 20 mg à noite</x:v>
      </x:c>
      <x:c r="K99" s="15" t="str">
        <x:v>Não</x:v>
      </x:c>
      <x:c r="L99" s="15" t="str">
        <x:v>Não</x:v>
      </x:c>
      <x:c r="M99" s="22" t="n">
        <x:v>46192</x:v>
      </x:c>
      <x:c r="N99" s="15" t="str">
        <x:v>Em consulta de rotina para controle metabólico. 64 anos, sexo M. Relata boa adesão ao tratamento prescrito. Exames recentes: HbA1c 8.8%, glicemia de jejum 162 mg/dL, creatinina 1.22 mg/dL. IMC 31.2 kg/m². Em uso de Metformina 500 mg 2x/dia; Sinvastatina 20 mg à noite. Nega poliúria, polidipsia ou perda ponderal recente. Programado retorno com novos exames laboratoriais.</x:v>
      </x:c>
      <x:c r="O99" s="15" t="str">
        <x:v>Elegível</x:v>
      </x:c>
      <x:c r="P99" s="15" t="str">
        <x:v>Critérios claramente atendidos</x:v>
      </x:c>
      <x:c r="Q99" s="15" t="str">
        <x:f>IF(AND(B99&gt;=30,B99&lt;=70,F99&gt;=7,F99&lt;=10.5,G99&lt;=1.5,I99&gt;=25,I99&lt;=45,OR(ISNUMBER(SEARCH("diabetes",D99)),ISNUMBER(SEARCH("DM",D99))),ISNUMBER(SEARCH("metformina",J99)),K99="Não",L99="Não"),"Elegível","Não elegível")</x:f>
        <x:v>Elegível</x:v>
      </x:c>
    </x:row>
    <x:row r="100" ht="54" customHeight="1">
      <x:c r="A100" s="15" t="str">
        <x:v>PAC-099</x:v>
      </x:c>
      <x:c r="B100" s="15" t="n">
        <x:v>42</x:v>
      </x:c>
      <x:c r="C100" s="15" t="str">
        <x:v>F</x:v>
      </x:c>
      <x:c r="D100" s="15" t="str">
        <x:v>Diabetes tipo 2</x:v>
      </x:c>
      <x:c r="E100" s="15" t="str">
        <x:v>Hipertensão arterial sistêmica; Dislipidemia</x:v>
      </x:c>
      <x:c r="F100" s="18" t="n">
        <x:v>9.4</x:v>
      </x:c>
      <x:c r="G100" s="20" t="n">
        <x:v>1.03</x:v>
      </x:c>
      <x:c r="H100" s="15" t="n">
        <x:v>190</x:v>
      </x:c>
      <x:c r="I100" s="18" t="n">
        <x:v>29.8</x:v>
      </x:c>
      <x:c r="J100" s="15" t="str">
        <x:v>Metformina 850 mg 2x/dia; Losartana 50 mg 2x/dia</x:v>
      </x:c>
      <x:c r="K100" s="15" t="str">
        <x:v>Não</x:v>
      </x:c>
      <x:c r="L100" s="15" t="str">
        <x:v>Não</x:v>
      </x:c>
      <x:c r="M100" s="22" t="n">
        <x:v>46249</x:v>
      </x:c>
      <x:c r="N100" s="15" t="str">
        <x:v>Paciente com diagnóstico prévio de DM2, em seguimento regular. 42 anos, sexo F. Refere adesão parcial às medidas não farmacológicas. Exames recentes: HbA1c 9.4%, glicemia de jejum 190 mg/dL, creatinina 1.03 mg/dL. IMC 29.8 kg/m². Em uso de Metformina 850 mg 2x/dia; Losartana 50 mg 2x/dia. Clinicamente estável, sem intercorrências recentes. Orientada manutenção do seguimento e controle laboratorial.</x:v>
      </x:c>
      <x:c r="O100" s="15" t="str">
        <x:v>Elegível</x:v>
      </x:c>
      <x:c r="P100" s="15" t="str">
        <x:v>Critérios claramente atendidos</x:v>
      </x:c>
      <x:c r="Q100" s="15" t="str">
        <x:f>IF(AND(B100&gt;=30,B100&lt;=70,F100&gt;=7,F100&lt;=10.5,G100&lt;=1.5,I100&gt;=25,I100&lt;=45,OR(ISNUMBER(SEARCH("diabetes",D100)),ISNUMBER(SEARCH("DM",D100))),ISNUMBER(SEARCH("metformina",J100)),K100="Não",L100="Não"),"Elegível","Não elegível")</x:f>
        <x:v>Elegível</x:v>
      </x:c>
    </x:row>
    <x:row r="101" ht="54" customHeight="1">
      <x:c r="A101" s="15" t="str">
        <x:v>PAC-100</x:v>
      </x:c>
      <x:c r="B101" s="15" t="n">
        <x:v>36</x:v>
      </x:c>
      <x:c r="C101" s="15" t="str">
        <x:v>F</x:v>
      </x:c>
      <x:c r="D101" s="15" t="str">
        <x:v>Diabetes mellitus tipo II</x:v>
      </x:c>
      <x:c r="E101" s="15" t="str">
        <x:v>Obesidade; Hipertensão arterial sistêmica</x:v>
      </x:c>
      <x:c r="F101" s="18" t="n">
        <x:v>7.6</x:v>
      </x:c>
      <x:c r="G101" s="20" t="n">
        <x:v>0.86</x:v>
      </x:c>
      <x:c r="H101" s="15" t="n">
        <x:v>157</x:v>
      </x:c>
      <x:c r="I101" s="18" t="n">
        <x:v>33.6</x:v>
      </x:c>
      <x:c r="J101" s="15" t="str">
        <x:v>Metformina 850 mg manhã e noite; Sinvastatina 20 mg à noite</x:v>
      </x:c>
      <x:c r="K101" s="15" t="str">
        <x:v>Não</x:v>
      </x:c>
      <x:c r="L101" s="15" t="str">
        <x:v>Não</x:v>
      </x:c>
      <x:c r="M101" s="22" t="n">
        <x:v>46169</x:v>
      </x:c>
      <x:c r="N101" s="15" t="str">
        <x:v>Em consulta de rotina para controle metabólico. 36 anos, sexo F. Informa uso irregular da dieta, porém mantém as medicações. Exames recentes: HbA1c 7.6%, glicemia de jejum 157 mg/dL, creatinina 0.86 mg/dL. IMC 33.6 kg/m². Em uso de Metformina 850 mg manhã e noite; Sinvastatina 20 mg à noite. Sem queixas agudas no momento. Mantida terapêutica atual até reavaliação.</x:v>
      </x:c>
      <x:c r="O101" s="15" t="str">
        <x:v>Elegível</x:v>
      </x:c>
      <x:c r="P101" s="15" t="str">
        <x:v>Critérios claramente atendidos</x:v>
      </x:c>
      <x:c r="Q101" s="15" t="str">
        <x:f>IF(AND(B101&gt;=30,B101&lt;=70,F101&gt;=7,F101&lt;=10.5,G101&lt;=1.5,I101&gt;=25,I101&lt;=45,OR(ISNUMBER(SEARCH("diabetes",D101)),ISNUMBER(SEARCH("DM",D101))),ISNUMBER(SEARCH("metformina",J101)),K101="Não",L101="Não"),"Elegível","Não elegível")</x:f>
        <x:v>Elegível</x:v>
      </x:c>
    </x:row>
    <x:row r="102" ht="54" customHeight="1">
      <x:c r="A102" s="15" t="str">
        <x:v>PAC-101</x:v>
      </x:c>
      <x:c r="B102" s="15" t="n">
        <x:v>82</x:v>
      </x:c>
      <x:c r="C102" s="15" t="str">
        <x:v>F</x:v>
      </x:c>
      <x:c r="D102" s="15" t="str">
        <x:v>DM2</x:v>
      </x:c>
      <x:c r="E102" s="15" t="str">
        <x:v>Obesidade</x:v>
      </x:c>
      <x:c r="F102" s="18" t="n">
        <x:v>9.2</x:v>
      </x:c>
      <x:c r="G102" s="20" t="n">
        <x:v>1.08</x:v>
      </x:c>
      <x:c r="H102" s="15" t="n">
        <x:v>178</x:v>
      </x:c>
      <x:c r="I102" s="18" t="n">
        <x:v>29.3</x:v>
      </x:c>
      <x:c r="J102" s="15" t="str">
        <x:v>Metformina XR 1.000 mg à noite; Atorvastatina 20 mg à noite</x:v>
      </x:c>
      <x:c r="K102" s="15" t="str">
        <x:v>Não</x:v>
      </x:c>
      <x:c r="L102" s="15" t="str">
        <x:v>Não</x:v>
      </x:c>
      <x:c r="M102" s="22" t="n">
        <x:v>46041</x:v>
      </x:c>
      <x:c r="N102" s="15" t="str">
        <x:v>Retorna para seguimento de diabetes mellitus tipo 2. 82 anos, sexo F. Informa uso irregular da dieta, porém mantém as medicações. Exames recentes: HbA1c 9.2%, glicemia de jejum 178 mg/dL, creatinina 1.08 mg/dL. IMC 29.3 kg/m². Em uso de Metformina XR 1.000 mg à noite; Atorvastatina 20 mg à noite. Idade acima da faixa prevista no protocolo. Clinicamente estável, sem intercorrências recentes. Mantida terapêutica atual até reavaliação.</x:v>
      </x:c>
      <x:c r="O102" s="15" t="str">
        <x:v>Não elegível</x:v>
      </x:c>
      <x:c r="P102" s="15" t="str">
        <x:v>Idade acima da faixa</x:v>
      </x:c>
      <x:c r="Q102" s="15" t="str">
        <x:f>IF(AND(B102&gt;=30,B102&lt;=70,F102&gt;=7,F102&lt;=10.5,G102&lt;=1.5,I102&gt;=25,I102&lt;=45,OR(ISNUMBER(SEARCH("diabetes",D102)),ISNUMBER(SEARCH("DM",D102))),ISNUMBER(SEARCH("metformina",J102)),K102="Não",L102="Não"),"Elegível","Não elegível")</x:f>
        <x:v>Não elegível</x:v>
      </x:c>
    </x:row>
    <x:row r="103" ht="54" customHeight="1">
      <x:c r="A103" s="15" t="str">
        <x:v>PAC-102</x:v>
      </x:c>
      <x:c r="B103" s="15" t="n">
        <x:v>36</x:v>
      </x:c>
      <x:c r="C103" s="15" t="str">
        <x:v>M</x:v>
      </x:c>
      <x:c r="D103" s="15" t="str">
        <x:v>Diabetes mellitus tipo 2</x:v>
      </x:c>
      <x:c r="E103" s="15" t="str">
        <x:v>Esteatose hepática</x:v>
      </x:c>
      <x:c r="F103" s="18" t="n">
        <x:v>10.8</x:v>
      </x:c>
      <x:c r="G103" s="20" t="n">
        <x:v>1.27</x:v>
      </x:c>
      <x:c r="H103" s="15" t="n">
        <x:v>186</x:v>
      </x:c>
      <x:c r="I103" s="18" t="n">
        <x:v>31.9</x:v>
      </x:c>
      <x:c r="J103" s="15" t="str">
        <x:v>Metformina XR 1.000 mg à noite</x:v>
      </x:c>
      <x:c r="K103" s="15" t="str">
        <x:v>Não</x:v>
      </x:c>
      <x:c r="L103" s="15" t="str">
        <x:v>Não</x:v>
      </x:c>
      <x:c r="M103" s="22" t="n">
        <x:v>46041</x:v>
      </x:c>
      <x:c r="N103" s="15" t="str">
        <x:v>Reavaliação clínica de paciente com diabetes tipo 2. 36 anos, sexo M. Refere uso regular das medicações. Exames recentes: HbA1c 10.8%, glicemia de jejum 186 mg/dL, creatinina 1.27 mg/dL. IMC 31.9 kg/m². Em uso de Metformina XR 1.000 mg à noite. HbA1c acima da faixa definida para inclusão. Nega hipoglicemias sintomáticas. Orientada manutenção do seguimento e controle laboratorial.</x:v>
      </x:c>
      <x:c r="O103" s="15" t="str">
        <x:v>Não elegível</x:v>
      </x:c>
      <x:c r="P103" s="15" t="str">
        <x:v>HbA1c acima da faixa</x:v>
      </x:c>
      <x:c r="Q103" s="15" t="str">
        <x:f>IF(AND(B103&gt;=30,B103&lt;=70,F103&gt;=7,F103&lt;=10.5,G103&lt;=1.5,I103&gt;=25,I103&lt;=45,OR(ISNUMBER(SEARCH("diabetes",D103)),ISNUMBER(SEARCH("DM",D103))),ISNUMBER(SEARCH("metformina",J103)),K103="Não",L103="Não"),"Elegível","Não elegível")</x:f>
        <x:v>Não elegível</x:v>
      </x:c>
    </x:row>
    <x:row r="104" ht="54" customHeight="1">
      <x:c r="A104" s="15" t="str">
        <x:v>PAC-103</x:v>
      </x:c>
      <x:c r="B104" s="15" t="n">
        <x:v>58</x:v>
      </x:c>
      <x:c r="C104" s="15" t="str">
        <x:v>M</x:v>
      </x:c>
      <x:c r="D104" s="15" t="str">
        <x:v>Diabetes tipo 2</x:v>
      </x:c>
      <x:c r="E104" s="15" t="str">
        <x:v>Esteatose hepática</x:v>
      </x:c>
      <x:c r="F104" s="18" t="n">
        <x:v>10</x:v>
      </x:c>
      <x:c r="G104" s="20" t="n">
        <x:v>1.85</x:v>
      </x:c>
      <x:c r="H104" s="15" t="n">
        <x:v>178</x:v>
      </x:c>
      <x:c r="I104" s="18" t="n">
        <x:v>27</x:v>
      </x:c>
      <x:c r="J104" s="15" t="str">
        <x:v>Metformina XR 1.000 mg à noite; Amlodipino 5 mg/dia</x:v>
      </x:c>
      <x:c r="K104" s="15" t="str">
        <x:v>Não</x:v>
      </x:c>
      <x:c r="L104" s="15" t="str">
        <x:v>Não</x:v>
      </x:c>
      <x:c r="M104" s="22" t="n">
        <x:v>46082</x:v>
      </x:c>
      <x:c r="N104" s="15" t="str">
        <x:v>Reavaliação clínica de paciente com diabetes tipo 2. 58 anos, sexo M. Refere adesão parcial às medidas não farmacológicas. Exames recentes: HbA1c 10.0%, glicemia de jejum 178 mg/dL, creatinina 1.85 mg/dL. IMC 27.0 kg/m². Em uso de Metformina XR 1.000 mg à noite; Amlodipino 5 mg/dia. Função renal acima do limite previsto no protocolo. Nega hipoglicemias sintomáticas. Orientada manutenção do seguimento e controle laboratorial.</x:v>
      </x:c>
      <x:c r="O104" s="15" t="str">
        <x:v>Não elegível</x:v>
      </x:c>
      <x:c r="P104" s="15" t="str">
        <x:v>Creatinina acima do limite</x:v>
      </x:c>
      <x:c r="Q104" s="15" t="str">
        <x:f>IF(AND(B104&gt;=30,B104&lt;=70,F104&gt;=7,F104&lt;=10.5,G104&lt;=1.5,I104&gt;=25,I104&lt;=45,OR(ISNUMBER(SEARCH("diabetes",D104)),ISNUMBER(SEARCH("DM",D104))),ISNUMBER(SEARCH("metformina",J104)),K104="Não",L104="Não"),"Elegível","Não elegível")</x:f>
        <x:v>Não elegível</x:v>
      </x:c>
    </x:row>
    <x:row r="105" ht="54" customHeight="1">
      <x:c r="A105" s="15" t="str">
        <x:v>PAC-104</x:v>
      </x:c>
      <x:c r="B105" s="15" t="n">
        <x:v>54</x:v>
      </x:c>
      <x:c r="C105" s="15" t="str">
        <x:v>F</x:v>
      </x:c>
      <x:c r="D105" s="15" t="str">
        <x:v>DM2</x:v>
      </x:c>
      <x:c r="E105" s="15" t="str">
        <x:v>Dislipidemia</x:v>
      </x:c>
      <x:c r="F105" s="18" t="n">
        <x:v>8.2</x:v>
      </x:c>
      <x:c r="G105" s="20" t="n">
        <x:v>1.19</x:v>
      </x:c>
      <x:c r="H105" s="15" t="n">
        <x:v>182</x:v>
      </x:c>
      <x:c r="I105" s="18" t="n">
        <x:v>38.4</x:v>
      </x:c>
      <x:c r="J105" s="15" t="str">
        <x:v>Dapagliflozina 10 mg/dia; Gliclazida MR 60 mg/dia</x:v>
      </x:c>
      <x:c r="K105" s="15" t="str">
        <x:v>Não</x:v>
      </x:c>
      <x:c r="L105" s="15" t="str">
        <x:v>Não</x:v>
      </x:c>
      <x:c r="M105" s="22" t="n">
        <x:v>46146</x:v>
      </x:c>
      <x:c r="N105" s="15" t="str">
        <x:v>Reavaliação clínica de paciente com diabetes tipo 2. 54 anos, sexo F. Nega interrupção recente das medicações. Exames recentes: HbA1c 8.2%, glicemia de jejum 182 mg/dL, creatinina 1.19 mg/dL. IMC 38.4 kg/m². Em uso de Dapagliflozina 10 mg/dia; Gliclazida MR 60 mg/dia. Não há metformina entre as medicações em uso. Sem sintomas sugestivos de descompensação aguda. Orientada manutenção do seguimento e controle laboratorial.</x:v>
      </x:c>
      <x:c r="O105" s="15" t="str">
        <x:v>Não elegível</x:v>
      </x:c>
      <x:c r="P105" s="15" t="str">
        <x:v>Sem uso de Metformina</x:v>
      </x:c>
      <x:c r="Q105" s="15" t="str">
        <x:f>IF(AND(B105&gt;=30,B105&lt;=70,F105&gt;=7,F105&lt;=10.5,G105&lt;=1.5,I105&gt;=25,I105&lt;=45,OR(ISNUMBER(SEARCH("diabetes",D105)),ISNUMBER(SEARCH("DM",D105))),ISNUMBER(SEARCH("metformina",J105)),K105="Não",L105="Não"),"Elegível","Não elegível")</x:f>
        <x:v>Não elegível</x:v>
      </x:c>
    </x:row>
    <x:row r="106" ht="54" customHeight="1">
      <x:c r="A106" s="15" t="str">
        <x:v>PAC-105</x:v>
      </x:c>
      <x:c r="B106" s="15" t="n">
        <x:v>51</x:v>
      </x:c>
      <x:c r="C106" s="15" t="str">
        <x:v>M</x:v>
      </x:c>
      <x:c r="D106" s="15" t="str">
        <x:v>Diabetes mellitus tipo II</x:v>
      </x:c>
      <x:c r="E106" s="15" t="str">
        <x:v>Dislipidemia</x:v>
      </x:c>
      <x:c r="F106" s="18" t="n">
        <x:v>8.5</x:v>
      </x:c>
      <x:c r="G106" s="20" t="n">
        <x:v>1.31</x:v>
      </x:c>
      <x:c r="H106" s="15" t="n">
        <x:v>188</x:v>
      </x:c>
      <x:c r="I106" s="18" t="n">
        <x:v>28.9</x:v>
      </x:c>
      <x:c r="J106" s="15" t="str">
        <x:v>Metformina 500 mg 2x/dia; Atorvastatina 20 mg à noite</x:v>
      </x:c>
      <x:c r="K106" s="15" t="str">
        <x:v>Sim</x:v>
      </x:c>
      <x:c r="L106" s="15" t="str">
        <x:v>Não</x:v>
      </x:c>
      <x:c r="M106" s="22" t="n">
        <x:v>46054</x:v>
      </x:c>
      <x:c r="N106" s="15" t="str">
        <x:v>Paciente em acompanhamento ambulatorial por DM2. 51 anos, sexo M. Relata boa adesão ao tratamento prescrito. Exames recentes: HbA1c 8.5%, glicemia de jejum 188 mg/dL, creatinina 1.31 mg/dL. IMC 28.9 kg/m². Em uso de Metformina 500 mg 2x/dia; Atorvastatina 20 mg à noite. Há registro de neoplasia em atividade. Em acompanhamento oncológico por doença ativa. Nega poliúria, polidipsia ou perda ponderal recente. Reforçadas orientações dietéticas e de atividade física.</x:v>
      </x:c>
      <x:c r="O106" s="15" t="str">
        <x:v>Não elegível</x:v>
      </x:c>
      <x:c r="P106" s="15" t="str">
        <x:v>Neoplasia ativa</x:v>
      </x:c>
      <x:c r="Q106" s="15" t="str">
        <x:f>IF(AND(B106&gt;=30,B106&lt;=70,F106&gt;=7,F106&lt;=10.5,G106&lt;=1.5,I106&gt;=25,I106&lt;=45,OR(ISNUMBER(SEARCH("diabetes",D106)),ISNUMBER(SEARCH("DM",D106))),ISNUMBER(SEARCH("metformina",J106)),K106="Não",L106="Não"),"Elegível","Não elegível")</x:f>
        <x:v>Não elegível</x:v>
      </x:c>
    </x:row>
    <x:row r="107" ht="54" customHeight="1">
      <x:c r="A107" s="15" t="str">
        <x:v>PAC-106</x:v>
      </x:c>
      <x:c r="B107" s="15" t="n">
        <x:v>29</x:v>
      </x:c>
      <x:c r="C107" s="15" t="str">
        <x:v>F</x:v>
      </x:c>
      <x:c r="D107" s="15" t="str">
        <x:v>Diabetes tipo 2</x:v>
      </x:c>
      <x:c r="E107" s="15" t="str">
        <x:v>Hipertensão arterial sistêmica</x:v>
      </x:c>
      <x:c r="F107" s="18" t="n">
        <x:v>7.3</x:v>
      </x:c>
      <x:c r="G107" s="20" t="n">
        <x:v>1.24</x:v>
      </x:c>
      <x:c r="H107" s="15" t="n">
        <x:v>158</x:v>
      </x:c>
      <x:c r="I107" s="18" t="n">
        <x:v>32.7</x:v>
      </x:c>
      <x:c r="J107" s="15" t="str">
        <x:v>Metformina 500 mg 2x/dia</x:v>
      </x:c>
      <x:c r="K107" s="15" t="str">
        <x:v>Não</x:v>
      </x:c>
      <x:c r="L107" s="15" t="str">
        <x:v>Não</x:v>
      </x:c>
      <x:c r="M107" s="22" t="n">
        <x:v>46092</x:v>
      </x:c>
      <x:c r="N107" s="15" t="str">
        <x:v>Retorna para seguimento de diabetes mellitus tipo 2. 29 anos, sexo F. Informa uso irregular da dieta, porém mantém as medicações. Exames recentes: HbA1c 7.3%, glicemia de jejum 158 mg/dL, creatinina 1.24 mg/dL. IMC 32.7 kg/m². Em uso de Metformina 500 mg 2x/dia. Idade fora da faixa prevista no protocolo. Nega hipoglicemias sintomáticas. Mantida terapêutica atual até reavaliação.</x:v>
      </x:c>
      <x:c r="O107" s="15" t="str">
        <x:v>Não elegível</x:v>
      </x:c>
      <x:c r="P107" s="15" t="str">
        <x:v>Idade abaixo da faixa</x:v>
      </x:c>
      <x:c r="Q107" s="15" t="str">
        <x:f>IF(AND(B107&gt;=30,B107&lt;=70,F107&gt;=7,F107&lt;=10.5,G107&lt;=1.5,I107&gt;=25,I107&lt;=45,OR(ISNUMBER(SEARCH("diabetes",D107)),ISNUMBER(SEARCH("DM",D107))),ISNUMBER(SEARCH("metformina",J107)),K107="Não",L107="Não"),"Elegível","Não elegível")</x:f>
        <x:v>Não elegível</x:v>
      </x:c>
    </x:row>
    <x:row r="108" ht="54" customHeight="1">
      <x:c r="A108" s="15" t="str">
        <x:v>PAC-107</x:v>
      </x:c>
      <x:c r="B108" s="15" t="n">
        <x:v>47</x:v>
      </x:c>
      <x:c r="C108" s="15" t="str">
        <x:v>F</x:v>
      </x:c>
      <x:c r="D108" s="15" t="str">
        <x:v>Diabetes mellitus tipo 2</x:v>
      </x:c>
      <x:c r="E108" s="15" t="str">
        <x:v>Osteoartrite de joelhos</x:v>
      </x:c>
      <x:c r="F108" s="18" t="n">
        <x:v>7.5</x:v>
      </x:c>
      <x:c r="G108" s="20" t="n">
        <x:v>1.05</x:v>
      </x:c>
      <x:c r="H108" s="15" t="n">
        <x:v>173</x:v>
      </x:c>
      <x:c r="I108" s="18" t="n">
        <x:v>29.2</x:v>
      </x:c>
      <x:c r="J108" s="15" t="str">
        <x:v>Metformina 850 mg 2x/dia; Sinvastatina 20 mg à noite</x:v>
      </x:c>
      <x:c r="K108" s="15" t="str">
        <x:v>Não</x:v>
      </x:c>
      <x:c r="L108" s="15" t="str">
        <x:v>Sim</x:v>
      </x:c>
      <x:c r="M108" s="22" t="n">
        <x:v>46220</x:v>
      </x:c>
      <x:c r="N108" s="15" t="str">
        <x:v>Retorna para seguimento de diabetes mellitus tipo 2. 47 anos, sexo F. Refere uso regular das medicações. Exames recentes: HbA1c 7.5%, glicemia de jejum 173 mg/dL, creatinina 1.05 mg/dL. IMC 29.2 kg/m². Em uso de Metformina 850 mg 2x/dia; Sinvastatina 20 mg à noite. Gestação atual registrada em prontuário. Gestação confirmada no atendimento atual. Nega poliúria, polidipsia ou perda ponderal recente. Orientada manutenção do seguimento e controle laboratorial.</x:v>
      </x:c>
      <x:c r="O108" s="15" t="str">
        <x:v>Não elegível</x:v>
      </x:c>
      <x:c r="P108" s="15" t="str">
        <x:v>Gestação</x:v>
      </x:c>
      <x:c r="Q108" s="15" t="str">
        <x:f>IF(AND(B108&gt;=30,B108&lt;=70,F108&gt;=7,F108&lt;=10.5,G108&lt;=1.5,I108&gt;=25,I108&lt;=45,OR(ISNUMBER(SEARCH("diabetes",D108)),ISNUMBER(SEARCH("DM",D108))),ISNUMBER(SEARCH("metformina",J108)),K108="Não",L108="Não"),"Elegível","Não elegível")</x:f>
        <x:v>Não elegível</x:v>
      </x:c>
    </x:row>
    <x:row r="109" ht="54" customHeight="1">
      <x:c r="A109" s="15" t="str">
        <x:v>PAC-108</x:v>
      </x:c>
      <x:c r="B109" s="15" t="n">
        <x:v>52</x:v>
      </x:c>
      <x:c r="C109" s="15" t="str">
        <x:v>M</x:v>
      </x:c>
      <x:c r="D109" s="15" t="str">
        <x:v>Diabetes mellitus tipo 2</x:v>
      </x:c>
      <x:c r="E109" s="15" t="str">
        <x:v>Esteatose hepática</x:v>
      </x:c>
      <x:c r="F109" s="18" t="n">
        <x:v>6.1</x:v>
      </x:c>
      <x:c r="G109" s="20" t="n">
        <x:v>0.69</x:v>
      </x:c>
      <x:c r="H109" s="15" t="n">
        <x:v>139</x:v>
      </x:c>
      <x:c r="I109" s="18" t="n">
        <x:v>26.2</x:v>
      </x:c>
      <x:c r="J109" s="15" t="str">
        <x:v>Metformina XR 500 mg 2x/dia</x:v>
      </x:c>
      <x:c r="K109" s="15" t="str">
        <x:v>Não</x:v>
      </x:c>
      <x:c r="L109" s="15" t="str">
        <x:v>Não</x:v>
      </x:c>
      <x:c r="M109" s="22" t="n">
        <x:v>46161</x:v>
      </x:c>
      <x:c r="N109" s="15" t="str">
        <x:v>Em consulta de rotina para controle metabólico. 52 anos, sexo M. Relata boa adesão ao tratamento prescrito. Exames recentes: HbA1c 6.1%, glicemia de jejum 139 mg/dL, creatinina 0.69 mg/dL. IMC 26.2 kg/m². Em uso de Metformina XR 500 mg 2x/dia. HbA1c abaixo da faixa definida para inclusão. Sem queixas agudas no momento. Orientada manutenção do seguimento e controle laboratorial.</x:v>
      </x:c>
      <x:c r="O109" s="15" t="str">
        <x:v>Não elegível</x:v>
      </x:c>
      <x:c r="P109" s="15" t="str">
        <x:v>HbA1c abaixo da faixa</x:v>
      </x:c>
      <x:c r="Q109" s="15" t="str">
        <x:f>IF(AND(B109&gt;=30,B109&lt;=70,F109&gt;=7,F109&lt;=10.5,G109&lt;=1.5,I109&gt;=25,I109&lt;=45,OR(ISNUMBER(SEARCH("diabetes",D109)),ISNUMBER(SEARCH("DM",D109))),ISNUMBER(SEARCH("metformina",J109)),K109="Não",L109="Não"),"Elegível","Não elegível")</x:f>
        <x:v>Não elegível</x:v>
      </x:c>
    </x:row>
    <x:row r="110" ht="54" customHeight="1">
      <x:c r="A110" s="15" t="str">
        <x:v>PAC-109</x:v>
      </x:c>
      <x:c r="B110" s="15" t="n">
        <x:v>55</x:v>
      </x:c>
      <x:c r="C110" s="15" t="str">
        <x:v>F</x:v>
      </x:c>
      <x:c r="D110" s="15" t="str">
        <x:v>DM tipo II</x:v>
      </x:c>
      <x:c r="E110" s="15" t="str">
        <x:v>Sem comorbidades relevantes</x:v>
      </x:c>
      <x:c r="F110" s="18" t="n">
        <x:v>8.8</x:v>
      </x:c>
      <x:c r="G110" s="20" t="n">
        <x:v>1.7</x:v>
      </x:c>
      <x:c r="H110" s="15" t="n">
        <x:v>174</x:v>
      </x:c>
      <x:c r="I110" s="18" t="n">
        <x:v>31.9</x:v>
      </x:c>
      <x:c r="J110" s="15" t="str">
        <x:v>Metformina 850 mg 2x/dia</x:v>
      </x:c>
      <x:c r="K110" s="15" t="str">
        <x:v>Não</x:v>
      </x:c>
      <x:c r="L110" s="15" t="str">
        <x:v>Não</x:v>
      </x:c>
      <x:c r="M110" s="22" t="n">
        <x:v>46204</x:v>
      </x:c>
      <x:c r="N110" s="15" t="str">
        <x:v>Retorna para seguimento de diabetes mellitus tipo 2. 55 anos, sexo F. Informa uso irregular da dieta, porém mantém as medicações. Exames recentes: HbA1c 8.8%, glicemia de jejum 174 mg/dL, creatinina 1.70 mg/dL. IMC 31.9 kg/m². Em uso de Metformina 850 mg 2x/dia. Função renal acima do limite previsto no protocolo. Clinicamente estável, sem intercorrências recentes. Programado retorno com novos exames laboratoriais.</x:v>
      </x:c>
      <x:c r="O110" s="15" t="str">
        <x:v>Não elegível</x:v>
      </x:c>
      <x:c r="P110" s="15" t="str">
        <x:v>Creatinina acima do limite</x:v>
      </x:c>
      <x:c r="Q110" s="15" t="str">
        <x:f>IF(AND(B110&gt;=30,B110&lt;=70,F110&gt;=7,F110&lt;=10.5,G110&lt;=1.5,I110&gt;=25,I110&lt;=45,OR(ISNUMBER(SEARCH("diabetes",D110)),ISNUMBER(SEARCH("DM",D110))),ISNUMBER(SEARCH("metformina",J110)),K110="Não",L110="Não"),"Elegível","Não elegível")</x:f>
        <x:v>Não elegível</x:v>
      </x:c>
    </x:row>
    <x:row r="111" ht="54" customHeight="1">
      <x:c r="A111" s="15" t="str">
        <x:v>PAC-110</x:v>
      </x:c>
      <x:c r="B111" s="15" t="n">
        <x:v>56</x:v>
      </x:c>
      <x:c r="C111" s="15" t="str">
        <x:v>M</x:v>
      </x:c>
      <x:c r="D111" s="15" t="str">
        <x:v>Diabetes tipo 2</x:v>
      </x:c>
      <x:c r="E111" s="15" t="str">
        <x:v>Esteatose hepática</x:v>
      </x:c>
      <x:c r="F111" s="18" t="n">
        <x:v>9.7</x:v>
      </x:c>
      <x:c r="G111" s="20" t="n">
        <x:v>2.35</x:v>
      </x:c>
      <x:c r="H111" s="15" t="n">
        <x:v>200</x:v>
      </x:c>
      <x:c r="I111" s="18" t="n">
        <x:v>28.1</x:v>
      </x:c>
      <x:c r="J111" s="15" t="str">
        <x:v>Metformina 500 mg 2x/dia; Levotiroxina 75 mcg/dia</x:v>
      </x:c>
      <x:c r="K111" s="15" t="str">
        <x:v>Não</x:v>
      </x:c>
      <x:c r="L111" s="15" t="str">
        <x:v>Não</x:v>
      </x:c>
      <x:c r="M111" s="22" t="n">
        <x:v>46232</x:v>
      </x:c>
      <x:c r="N111" s="15" t="str">
        <x:v>Em consulta de rotina para controle metabólico. 56 anos, sexo M. Refere uso regular das medicações. Exames recentes: HbA1c 9.7%, glicemia de jejum 200 mg/dL, creatinina 2.35 mg/dL. IMC 28.1 kg/m². Em uso de Metformina 500 mg 2x/dia; Levotiroxina 75 mcg/dia. Função renal acima do limite previsto no protocolo. Nega poliúria, polidipsia ou perda ponderal recente. Mantido acompanhamento e reforçadas medidas de estilo de vida.</x:v>
      </x:c>
      <x:c r="O111" s="15" t="str">
        <x:v>Não elegível</x:v>
      </x:c>
      <x:c r="P111" s="15" t="str">
        <x:v>Creatinina acima do limite</x:v>
      </x:c>
      <x:c r="Q111" s="15" t="str">
        <x:f>IF(AND(B111&gt;=30,B111&lt;=70,F111&gt;=7,F111&lt;=10.5,G111&lt;=1.5,I111&gt;=25,I111&lt;=45,OR(ISNUMBER(SEARCH("diabetes",D111)),ISNUMBER(SEARCH("DM",D111))),ISNUMBER(SEARCH("metformina",J111)),K111="Não",L111="Não"),"Elegível","Não elegível")</x:f>
        <x:v>Não elegível</x:v>
      </x:c>
    </x:row>
    <x:row r="112" ht="54" customHeight="1">
      <x:c r="A112" s="15" t="str">
        <x:v>PAC-111</x:v>
      </x:c>
      <x:c r="B112" s="15" t="n">
        <x:v>61</x:v>
      </x:c>
      <x:c r="C112" s="15" t="str">
        <x:v>M</x:v>
      </x:c>
      <x:c r="D112" s="15" t="str">
        <x:v>Diabetes mellitus tipo 2</x:v>
      </x:c>
      <x:c r="E112" s="15" t="str">
        <x:v>Doença do refluxo gastroesofágico</x:v>
      </x:c>
      <x:c r="F112" s="18" t="n">
        <x:v>5.9</x:v>
      </x:c>
      <x:c r="G112" s="20" t="n">
        <x:v>0.72</x:v>
      </x:c>
      <x:c r="H112" s="15" t="n">
        <x:v>163</x:v>
      </x:c>
      <x:c r="I112" s="18" t="n">
        <x:v>41.8</x:v>
      </x:c>
      <x:c r="J112" s="15" t="str">
        <x:v>Metformina 500 mg 2x/dia; Levotiroxina 75 mcg/dia</x:v>
      </x:c>
      <x:c r="K112" s="15" t="str">
        <x:v>Não</x:v>
      </x:c>
      <x:c r="L112" s="15" t="str">
        <x:v>Não</x:v>
      </x:c>
      <x:c r="M112" s="22" t="n">
        <x:v>46256</x:v>
      </x:c>
      <x:c r="N112" s="15" t="str">
        <x:v>Paciente em acompanhamento ambulatorial por DM2. 61 anos, sexo M. Refere uso regular das medicações. Exames recentes: HbA1c 5.9%, glicemia de jejum 163 mg/dL, creatinina 0.72 mg/dL. IMC 41.8 kg/m². Em uso de Metformina 500 mg 2x/dia; Levotiroxina 75 mcg/dia. HbA1c abaixo da faixa definida para inclusão. Nega hipoglicemias sintomáticas. Mantido acompanhamento e reforçadas medidas de estilo de vida.</x:v>
      </x:c>
      <x:c r="O112" s="15" t="str">
        <x:v>Não elegível</x:v>
      </x:c>
      <x:c r="P112" s="15" t="str">
        <x:v>HbA1c abaixo da faixa</x:v>
      </x:c>
      <x:c r="Q112" s="15" t="str">
        <x:f>IF(AND(B112&gt;=30,B112&lt;=70,F112&gt;=7,F112&lt;=10.5,G112&lt;=1.5,I112&gt;=25,I112&lt;=45,OR(ISNUMBER(SEARCH("diabetes",D112)),ISNUMBER(SEARCH("DM",D112))),ISNUMBER(SEARCH("metformina",J112)),K112="Não",L112="Não"),"Elegível","Não elegível")</x:f>
        <x:v>Não elegível</x:v>
      </x:c>
    </x:row>
    <x:row r="113" ht="54" customHeight="1">
      <x:c r="A113" s="15" t="str">
        <x:v>PAC-112</x:v>
      </x:c>
      <x:c r="B113" s="15" t="n">
        <x:v>59</x:v>
      </x:c>
      <x:c r="C113" s="15" t="str">
        <x:v>M</x:v>
      </x:c>
      <x:c r="D113" s="15" t="str">
        <x:v>DM tipo II</x:v>
      </x:c>
      <x:c r="E113" s="15" t="str">
        <x:v>Esteatose hepática</x:v>
      </x:c>
      <x:c r="F113" s="18" t="n">
        <x:v>11.3</x:v>
      </x:c>
      <x:c r="G113" s="20" t="n">
        <x:v>1.04</x:v>
      </x:c>
      <x:c r="H113" s="15" t="n">
        <x:v>196</x:v>
      </x:c>
      <x:c r="I113" s="18" t="n">
        <x:v>38.1</x:v>
      </x:c>
      <x:c r="J113" s="15" t="str">
        <x:v>Metformina 500 mg 2x/dia; Losartana 50 mg/dia; Atorvastatina 20 mg/noite</x:v>
      </x:c>
      <x:c r="K113" s="15" t="str">
        <x:v>Não</x:v>
      </x:c>
      <x:c r="L113" s="15" t="str">
        <x:v>Não</x:v>
      </x:c>
      <x:c r="M113" s="22" t="n">
        <x:v>46143</x:v>
      </x:c>
      <x:c r="N113" s="15" t="str">
        <x:v>Reavaliação clínica de paciente com diabetes tipo 2. 59 anos, sexo M. Nega interrupção recente das medicações. Exames recentes: HbA1c 11.3%, glicemia de jejum 196 mg/dL, creatinina 1.04 mg/dL. IMC 38.1 kg/m². Em uso de Metformina 500 mg 2x/dia; Losartana 50 mg/dia; Atorvastatina 20 mg/noite. HbA1c acima da faixa definida para inclusão. Nega poliúria, polidipsia ou perda ponderal recente. Mantida terapêutica atual até reavaliação.</x:v>
      </x:c>
      <x:c r="O113" s="15" t="str">
        <x:v>Não elegível</x:v>
      </x:c>
      <x:c r="P113" s="15" t="str">
        <x:v>HbA1c acima da faixa</x:v>
      </x:c>
      <x:c r="Q113" s="15" t="str">
        <x:f>IF(AND(B113&gt;=30,B113&lt;=70,F113&gt;=7,F113&lt;=10.5,G113&lt;=1.5,I113&gt;=25,I113&lt;=45,OR(ISNUMBER(SEARCH("diabetes",D113)),ISNUMBER(SEARCH("DM",D113))),ISNUMBER(SEARCH("metformina",J113)),K113="Não",L113="Não"),"Elegível","Não elegível")</x:f>
        <x:v>Não elegível</x:v>
      </x:c>
    </x:row>
    <x:row r="114" ht="54" customHeight="1">
      <x:c r="A114" s="15" t="str">
        <x:v>PAC-113</x:v>
      </x:c>
      <x:c r="B114" s="15" t="n">
        <x:v>54</x:v>
      </x:c>
      <x:c r="C114" s="15" t="str">
        <x:v>F</x:v>
      </x:c>
      <x:c r="D114" s="15" t="str">
        <x:v>Diabetes mellitus tipo 2</x:v>
      </x:c>
      <x:c r="E114" s="15" t="str">
        <x:v>Obesidade; Hipertensão arterial sistêmica</x:v>
      </x:c>
      <x:c r="F114" s="18" t="n">
        <x:v>7.9</x:v>
      </x:c>
      <x:c r="G114" s="20" t="n">
        <x:v>1.18</x:v>
      </x:c>
      <x:c r="H114" s="15" t="n">
        <x:v>178</x:v>
      </x:c>
      <x:c r="I114" s="18" t="n">
        <x:v>36.5</x:v>
      </x:c>
      <x:c r="J114" s="15" t="str">
        <x:v>Metformina 1.000 mg 2x/dia</x:v>
      </x:c>
      <x:c r="K114" s="15" t="str">
        <x:v>Não</x:v>
      </x:c>
      <x:c r="L114" s="15" t="str">
        <x:v>Sim</x:v>
      </x:c>
      <x:c r="M114" s="22" t="n">
        <x:v>46099</x:v>
      </x:c>
      <x:c r="N114" s="15" t="str">
        <x:v>Paciente em acompanhamento ambulatorial por DM2. 54 anos, sexo F. Refere adesão parcial às medidas não farmacológicas. Exames recentes: HbA1c 7.9%, glicemia de jejum 178 mg/dL, creatinina 1.18 mg/dL. IMC 36.5 kg/m². Em uso de Metformina 1.000 mg 2x/dia. Gestação atual registrada em prontuário. Gestação confirmada no atendimento atual. Sem queixas agudas no momento. Programado retorno com novos exames laboratoriais.</x:v>
      </x:c>
      <x:c r="O114" s="15" t="str">
        <x:v>Não elegível</x:v>
      </x:c>
      <x:c r="P114" s="15" t="str">
        <x:v>Gestação</x:v>
      </x:c>
      <x:c r="Q114" s="15" t="str">
        <x:f>IF(AND(B114&gt;=30,B114&lt;=70,F114&gt;=7,F114&lt;=10.5,G114&lt;=1.5,I114&gt;=25,I114&lt;=45,OR(ISNUMBER(SEARCH("diabetes",D114)),ISNUMBER(SEARCH("DM",D114))),ISNUMBER(SEARCH("metformina",J114)),K114="Não",L114="Não"),"Elegível","Não elegível")</x:f>
        <x:v>Não elegível</x:v>
      </x:c>
    </x:row>
    <x:row r="115" ht="54" customHeight="1">
      <x:c r="A115" s="15" t="str">
        <x:v>PAC-114</x:v>
      </x:c>
      <x:c r="B115" s="15" t="n">
        <x:v>40</x:v>
      </x:c>
      <x:c r="C115" s="15" t="str">
        <x:v>F</x:v>
      </x:c>
      <x:c r="D115" s="15" t="str">
        <x:v>Diabetes mellitus tipo II</x:v>
      </x:c>
      <x:c r="E115" s="15" t="str">
        <x:v>Osteoartrite de joelhos</x:v>
      </x:c>
      <x:c r="F115" s="18" t="n">
        <x:v>7.7</x:v>
      </x:c>
      <x:c r="G115" s="20" t="n">
        <x:v>1.05</x:v>
      </x:c>
      <x:c r="H115" s="15" t="n">
        <x:v>171</x:v>
      </x:c>
      <x:c r="I115" s="18" t="n">
        <x:v>31.4</x:v>
      </x:c>
      <x:c r="J115" s="15" t="str">
        <x:v>Metformina 850 mg manhã e noite; Atorvastatina 20 mg à noite</x:v>
      </x:c>
      <x:c r="K115" s="15" t="str">
        <x:v>Não</x:v>
      </x:c>
      <x:c r="L115" s="15" t="str">
        <x:v>Sim</x:v>
      </x:c>
      <x:c r="M115" s="22" t="n">
        <x:v>46235</x:v>
      </x:c>
      <x:c r="N115" s="15" t="str">
        <x:v>Paciente em acompanhamento ambulatorial por DM2. 40 anos, sexo F. Nega interrupção recente das medicações. Exames recentes: HbA1c 7.7%, glicemia de jejum 171 mg/dL, creatinina 1.05 mg/dL. IMC 31.4 kg/m². Em uso de Metformina 850 mg manhã e noite; Atorvastatina 20 mg à noite. Gestação atual registrada em prontuário. Gestação confirmada no atendimento atual. Sem sintomas sugestivos de descompensação aguda. Mantida terapêutica atual até reavaliação.</x:v>
      </x:c>
      <x:c r="O115" s="15" t="str">
        <x:v>Não elegível</x:v>
      </x:c>
      <x:c r="P115" s="15" t="str">
        <x:v>Gestação</x:v>
      </x:c>
      <x:c r="Q115" s="15" t="str">
        <x:f>IF(AND(B115&gt;=30,B115&lt;=70,F115&gt;=7,F115&lt;=10.5,G115&lt;=1.5,I115&gt;=25,I115&lt;=45,OR(ISNUMBER(SEARCH("diabetes",D115)),ISNUMBER(SEARCH("DM",D115))),ISNUMBER(SEARCH("metformina",J115)),K115="Não",L115="Não"),"Elegível","Não elegível")</x:f>
        <x:v>Não elegível</x:v>
      </x:c>
    </x:row>
    <x:row r="116" ht="54" customHeight="1">
      <x:c r="A116" s="15" t="str">
        <x:v>PAC-115</x:v>
      </x:c>
      <x:c r="B116" s="15" t="n">
        <x:v>46</x:v>
      </x:c>
      <x:c r="C116" s="15" t="str">
        <x:v>M</x:v>
      </x:c>
      <x:c r="D116" s="15" t="str">
        <x:v>Diabetes mellitus tipo II</x:v>
      </x:c>
      <x:c r="E116" s="15" t="str">
        <x:v>Dislipidemia</x:v>
      </x:c>
      <x:c r="F116" s="18" t="n">
        <x:v>7.6</x:v>
      </x:c>
      <x:c r="G116" s="20" t="n">
        <x:v>0.67</x:v>
      </x:c>
      <x:c r="H116" s="15" t="n">
        <x:v>165</x:v>
      </x:c>
      <x:c r="I116" s="18" t="n">
        <x:v>23.3</x:v>
      </x:c>
      <x:c r="J116" s="15" t="str">
        <x:v>Metformina 850 mg manhã e noite; Losartana 50 mg 2x/dia</x:v>
      </x:c>
      <x:c r="K116" s="15" t="str">
        <x:v>Não</x:v>
      </x:c>
      <x:c r="L116" s="15" t="str">
        <x:v>Não</x:v>
      </x:c>
      <x:c r="M116" s="22" t="n">
        <x:v>46110</x:v>
      </x:c>
      <x:c r="N116" s="15" t="str">
        <x:v>Paciente com diagnóstico prévio de DM2, em seguimento regular. 46 anos, sexo M. Refere uso regular das medicações. Exames recentes: HbA1c 7.6%, glicemia de jejum 165 mg/dL, creatinina 0.67 mg/dL. IMC 23.3 kg/m². Em uso de Metformina 850 mg manhã e noite; Losartana 50 mg 2x/dia. IMC abaixo do limite de inclusão. Nega hipoglicemias sintomáticas. Reforçadas orientações dietéticas e de atividade física.</x:v>
      </x:c>
      <x:c r="O116" s="15" t="str">
        <x:v>Não elegível</x:v>
      </x:c>
      <x:c r="P116" s="15" t="str">
        <x:v>IMC abaixo da faixa</x:v>
      </x:c>
      <x:c r="Q116" s="15" t="str">
        <x:f>IF(AND(B116&gt;=30,B116&lt;=70,F116&gt;=7,F116&lt;=10.5,G116&lt;=1.5,I116&gt;=25,I116&lt;=45,OR(ISNUMBER(SEARCH("diabetes",D116)),ISNUMBER(SEARCH("DM",D116))),ISNUMBER(SEARCH("metformina",J116)),K116="Não",L116="Não"),"Elegível","Não elegível")</x:f>
        <x:v>Não elegível</x:v>
      </x:c>
    </x:row>
    <x:row r="117" ht="54" customHeight="1">
      <x:c r="A117" s="15" t="str">
        <x:v>PAC-116</x:v>
      </x:c>
      <x:c r="B117" s="15" t="n">
        <x:v>59</x:v>
      </x:c>
      <x:c r="C117" s="15" t="str">
        <x:v>F</x:v>
      </x:c>
      <x:c r="D117" s="15" t="str">
        <x:v>DM tipo II</x:v>
      </x:c>
      <x:c r="E117" s="15" t="str">
        <x:v>Sem comorbidades relevantes</x:v>
      </x:c>
      <x:c r="F117" s="18" t="n">
        <x:v>8.5</x:v>
      </x:c>
      <x:c r="G117" s="20" t="n">
        <x:v>1.25</x:v>
      </x:c>
      <x:c r="H117" s="15" t="n">
        <x:v>166</x:v>
      </x:c>
      <x:c r="I117" s="18" t="n">
        <x:v>41.6</x:v>
      </x:c>
      <x:c r="J117" s="15" t="str">
        <x:v>Empagliflozina 10 mg/dia</x:v>
      </x:c>
      <x:c r="K117" s="15" t="str">
        <x:v>Não</x:v>
      </x:c>
      <x:c r="L117" s="15" t="str">
        <x:v>Não</x:v>
      </x:c>
      <x:c r="M117" s="22" t="n">
        <x:v>46159</x:v>
      </x:c>
      <x:c r="N117" s="15" t="str">
        <x:v>Reavaliação clínica de paciente com diabetes tipo 2. 59 anos, sexo F. Informa uso irregular da dieta, porém mantém as medicações. Exames recentes: HbA1c 8.5%, glicemia de jejum 166 mg/dL, creatinina 1.25 mg/dL. IMC 41.6 kg/m². Em uso de Empagliflozina 10 mg/dia. Não há metformina entre as medicações em uso. Clinicamente estável, sem intercorrências recentes. Mantido acompanhamento e reforçadas medidas de estilo de vida.</x:v>
      </x:c>
      <x:c r="O117" s="15" t="str">
        <x:v>Não elegível</x:v>
      </x:c>
      <x:c r="P117" s="15" t="str">
        <x:v>Sem uso de Metformina</x:v>
      </x:c>
      <x:c r="Q117" s="15" t="str">
        <x:f>IF(AND(B117&gt;=30,B117&lt;=70,F117&gt;=7,F117&lt;=10.5,G117&lt;=1.5,I117&gt;=25,I117&lt;=45,OR(ISNUMBER(SEARCH("diabetes",D117)),ISNUMBER(SEARCH("DM",D117))),ISNUMBER(SEARCH("metformina",J117)),K117="Não",L117="Não"),"Elegível","Não elegível")</x:f>
        <x:v>Não elegível</x:v>
      </x:c>
    </x:row>
    <x:row r="118" ht="54" customHeight="1">
      <x:c r="A118" s="15" t="str">
        <x:v>PAC-117</x:v>
      </x:c>
      <x:c r="B118" s="15" t="n">
        <x:v>56</x:v>
      </x:c>
      <x:c r="C118" s="15" t="str">
        <x:v>F</x:v>
      </x:c>
      <x:c r="D118" s="15" t="str">
        <x:v>Diabetes tipo 2</x:v>
      </x:c>
      <x:c r="E118" s="15" t="str">
        <x:v>Obesidade</x:v>
      </x:c>
      <x:c r="F118" s="18" t="n">
        <x:v>6.2</x:v>
      </x:c>
      <x:c r="G118" s="20" t="n">
        <x:v>1.07</x:v>
      </x:c>
      <x:c r="H118" s="15" t="n">
        <x:v>161</x:v>
      </x:c>
      <x:c r="I118" s="18" t="n">
        <x:v>29.1</x:v>
      </x:c>
      <x:c r="J118" s="15" t="str">
        <x:v>Metformina 500 mg 2x/dia</x:v>
      </x:c>
      <x:c r="K118" s="15" t="str">
        <x:v>Não</x:v>
      </x:c>
      <x:c r="L118" s="15" t="str">
        <x:v>Não</x:v>
      </x:c>
      <x:c r="M118" s="22" t="n">
        <x:v>46110</x:v>
      </x:c>
      <x:c r="N118" s="15" t="str">
        <x:v>Reavaliação clínica de paciente com diabetes tipo 2. 56 anos, sexo F. Informa uso irregular da dieta, porém mantém as medicações. Exames recentes: HbA1c 6.2%, glicemia de jejum 161 mg/dL, creatinina 1.07 mg/dL. IMC 29.1 kg/m². Em uso de Metformina 500 mg 2x/dia. HbA1c abaixo da faixa definida para inclusão. Sem sintomas sugestivos de descompensação aguda. Reforçadas orientações dietéticas e de atividade física.</x:v>
      </x:c>
      <x:c r="O118" s="15" t="str">
        <x:v>Não elegível</x:v>
      </x:c>
      <x:c r="P118" s="15" t="str">
        <x:v>HbA1c abaixo da faixa</x:v>
      </x:c>
      <x:c r="Q118" s="15" t="str">
        <x:f>IF(AND(B118&gt;=30,B118&lt;=70,F118&gt;=7,F118&lt;=10.5,G118&lt;=1.5,I118&gt;=25,I118&lt;=45,OR(ISNUMBER(SEARCH("diabetes",D118)),ISNUMBER(SEARCH("DM",D118))),ISNUMBER(SEARCH("metformina",J118)),K118="Não",L118="Não"),"Elegível","Não elegível")</x:f>
        <x:v>Não elegível</x:v>
      </x:c>
    </x:row>
    <x:row r="119" ht="54" customHeight="1">
      <x:c r="A119" s="15" t="str">
        <x:v>PAC-118</x:v>
      </x:c>
      <x:c r="B119" s="15" t="n">
        <x:v>42</x:v>
      </x:c>
      <x:c r="C119" s="15" t="str">
        <x:v>F</x:v>
      </x:c>
      <x:c r="D119" s="15" t="str">
        <x:v>DM tipo II</x:v>
      </x:c>
      <x:c r="E119" s="15" t="str">
        <x:v>Sem comorbidades relevantes</x:v>
      </x:c>
      <x:c r="F119" s="18" t="n">
        <x:v>10</x:v>
      </x:c>
      <x:c r="G119" s="20" t="n">
        <x:v>0.71</x:v>
      </x:c>
      <x:c r="H119" s="15" t="n">
        <x:v>200</x:v>
      </x:c>
      <x:c r="I119" s="18" t="n">
        <x:v>51.7</x:v>
      </x:c>
      <x:c r="J119" s="15" t="str">
        <x:v>Metformina XR 1.000 mg à noite; Amlodipino 5 mg/dia</x:v>
      </x:c>
      <x:c r="K119" s="15" t="str">
        <x:v>Não</x:v>
      </x:c>
      <x:c r="L119" s="15" t="str">
        <x:v>Não</x:v>
      </x:c>
      <x:c r="M119" s="22" t="n">
        <x:v>46030</x:v>
      </x:c>
      <x:c r="N119" s="15" t="str">
        <x:v>Paciente em acompanhamento ambulatorial por DM2. 42 anos, sexo F. Refere adesão parcial às medidas não farmacológicas. Exames recentes: HbA1c 10.0%, glicemia de jejum 200 mg/dL, creatinina 0.71 mg/dL. IMC 51.7 kg/m². Em uso de Metformina XR 1.000 mg à noite; Amlodipino 5 mg/dia. IMC acima do limite de inclusão. Nega poliúria, polidipsia ou perda ponderal recente. Orientada manutenção do seguimento e controle laboratorial.</x:v>
      </x:c>
      <x:c r="O119" s="15" t="str">
        <x:v>Não elegível</x:v>
      </x:c>
      <x:c r="P119" s="15" t="str">
        <x:v>IMC acima da faixa</x:v>
      </x:c>
      <x:c r="Q119" s="15" t="str">
        <x:f>IF(AND(B119&gt;=30,B119&lt;=70,F119&gt;=7,F119&lt;=10.5,G119&lt;=1.5,I119&gt;=25,I119&lt;=45,OR(ISNUMBER(SEARCH("diabetes",D119)),ISNUMBER(SEARCH("DM",D119))),ISNUMBER(SEARCH("metformina",J119)),K119="Não",L119="Não"),"Elegível","Não elegível")</x:f>
        <x:v>Não elegível</x:v>
      </x:c>
    </x:row>
    <x:row r="120" ht="54" customHeight="1">
      <x:c r="A120" s="15" t="str">
        <x:v>PAC-119</x:v>
      </x:c>
      <x:c r="B120" s="15" t="n">
        <x:v>27</x:v>
      </x:c>
      <x:c r="C120" s="15" t="str">
        <x:v>F</x:v>
      </x:c>
      <x:c r="D120" s="15" t="str">
        <x:v>Diabetes tipo 2</x:v>
      </x:c>
      <x:c r="E120" s="15" t="str">
        <x:v>Hipotireoidismo</x:v>
      </x:c>
      <x:c r="F120" s="18" t="n">
        <x:v>8.4</x:v>
      </x:c>
      <x:c r="G120" s="20" t="n">
        <x:v>1.3</x:v>
      </x:c>
      <x:c r="H120" s="15" t="n">
        <x:v>159</x:v>
      </x:c>
      <x:c r="I120" s="18" t="n">
        <x:v>40.5</x:v>
      </x:c>
      <x:c r="J120" s="15" t="str">
        <x:v>Metformina 500 mg 2x/dia</x:v>
      </x:c>
      <x:c r="K120" s="15" t="str">
        <x:v>Não</x:v>
      </x:c>
      <x:c r="L120" s="15" t="str">
        <x:v>Não</x:v>
      </x:c>
      <x:c r="M120" s="22" t="n">
        <x:v>46174</x:v>
      </x:c>
      <x:c r="N120" s="15" t="str">
        <x:v>Reavaliação clínica de paciente com diabetes tipo 2. 27 anos, sexo F. Informa uso irregular da dieta, porém mantém as medicações. Exames recentes: HbA1c 8.4%, glicemia de jejum 159 mg/dL, creatinina 1.30 mg/dL. IMC 40.5 kg/m². Em uso de Metformina 500 mg 2x/dia. Idade fora da faixa prevista no protocolo. Sem queixas agudas no momento. Programado retorno com novos exames laboratoriais.</x:v>
      </x:c>
      <x:c r="O120" s="15" t="str">
        <x:v>Não elegível</x:v>
      </x:c>
      <x:c r="P120" s="15" t="str">
        <x:v>Idade abaixo da faixa</x:v>
      </x:c>
      <x:c r="Q120" s="15" t="str">
        <x:f>IF(AND(B120&gt;=30,B120&lt;=70,F120&gt;=7,F120&lt;=10.5,G120&lt;=1.5,I120&gt;=25,I120&lt;=45,OR(ISNUMBER(SEARCH("diabetes",D120)),ISNUMBER(SEARCH("DM",D120))),ISNUMBER(SEARCH("metformina",J120)),K120="Não",L120="Não"),"Elegível","Não elegível")</x:f>
        <x:v>Não elegível</x:v>
      </x:c>
    </x:row>
    <x:row r="121" ht="54" customHeight="1">
      <x:c r="A121" s="15" t="str">
        <x:v>PAC-120</x:v>
      </x:c>
      <x:c r="B121" s="15" t="n">
        <x:v>56</x:v>
      </x:c>
      <x:c r="C121" s="15" t="str">
        <x:v>F</x:v>
      </x:c>
      <x:c r="D121" s="15" t="str">
        <x:v>DM2</x:v>
      </x:c>
      <x:c r="E121" s="15" t="str">
        <x:v>Esteatose hepática</x:v>
      </x:c>
      <x:c r="F121" s="18" t="n">
        <x:v>7.4</x:v>
      </x:c>
      <x:c r="G121" s="20" t="n">
        <x:v>0.91</x:v>
      </x:c>
      <x:c r="H121" s="15" t="n">
        <x:v>165</x:v>
      </x:c>
      <x:c r="I121" s="18" t="n">
        <x:v>45.6</x:v>
      </x:c>
      <x:c r="J121" s="15" t="str">
        <x:v>Metformina 850 mg manhã e noite; Losartana 50 mg/dia; Atorvastatina 20 mg/noite</x:v>
      </x:c>
      <x:c r="K121" s="15" t="str">
        <x:v>Não</x:v>
      </x:c>
      <x:c r="L121" s="15" t="str">
        <x:v>Não</x:v>
      </x:c>
      <x:c r="M121" s="22" t="n">
        <x:v>46105</x:v>
      </x:c>
      <x:c r="N121" s="15" t="str">
        <x:v>Em consulta de rotina para controle metabólico. 56 anos, sexo F. Nega interrupção recente das medicações. Exames recentes: HbA1c 7.4%, glicemia de jejum 165 mg/dL, creatinina 0.91 mg/dL. IMC 45.6 kg/m². Em uso de Metformina 850 mg manhã e noite; Losartana 50 mg/dia; Atorvastatina 20 mg/noite. IMC acima do limite de inclusão. Nega poliúria, polidipsia ou perda ponderal recente. Programado retorno com novos exames laboratoriais.</x:v>
      </x:c>
      <x:c r="O121" s="15" t="str">
        <x:v>Não elegível</x:v>
      </x:c>
      <x:c r="P121" s="15" t="str">
        <x:v>IMC acima da faixa</x:v>
      </x:c>
      <x:c r="Q121" s="15" t="str">
        <x:f>IF(AND(B121&gt;=30,B121&lt;=70,F121&gt;=7,F121&lt;=10.5,G121&lt;=1.5,I121&gt;=25,I121&lt;=45,OR(ISNUMBER(SEARCH("diabetes",D121)),ISNUMBER(SEARCH("DM",D121))),ISNUMBER(SEARCH("metformina",J121)),K121="Não",L121="Não"),"Elegível","Não elegível")</x:f>
        <x:v>Não elegível</x:v>
      </x:c>
    </x:row>
    <x:row r="122" ht="54" customHeight="1">
      <x:c r="A122" s="15" t="str">
        <x:v>PAC-121</x:v>
      </x:c>
      <x:c r="B122" s="15" t="n">
        <x:v>59</x:v>
      </x:c>
      <x:c r="C122" s="15" t="str">
        <x:v>F</x:v>
      </x:c>
      <x:c r="D122" s="15" t="str">
        <x:v>Diabetes tipo 2</x:v>
      </x:c>
      <x:c r="E122" s="15" t="str">
        <x:v>Hipotireoidismo</x:v>
      </x:c>
      <x:c r="F122" s="18" t="n">
        <x:v>8.2</x:v>
      </x:c>
      <x:c r="G122" s="20" t="n">
        <x:v>1.1</x:v>
      </x:c>
      <x:c r="H122" s="15" t="n">
        <x:v>178</x:v>
      </x:c>
      <x:c r="I122" s="18" t="n">
        <x:v>31</x:v>
      </x:c>
      <x:c r="J122" s="15" t="str">
        <x:v>Metformina XR 500 mg 2x/dia; Losartana 50 mg/dia; Atorvastatina 20 mg/noite</x:v>
      </x:c>
      <x:c r="K122" s="15" t="str">
        <x:v>Sim</x:v>
      </x:c>
      <x:c r="L122" s="15" t="str">
        <x:v>Não</x:v>
      </x:c>
      <x:c r="M122" s="22" t="n">
        <x:v>46076</x:v>
      </x:c>
      <x:c r="N122" s="15" t="str">
        <x:v>Reavaliação clínica de paciente com diabetes tipo 2. 59 anos, sexo F. Relata boa adesão ao tratamento prescrito. Exames recentes: HbA1c 8.2%, glicemia de jejum 178 mg/dL, creatinina 1.10 mg/dL. IMC 31.0 kg/m². Em uso de Metformina XR 500 mg 2x/dia; Losartana 50 mg/dia; Atorvastatina 20 mg/noite. Há registro de neoplasia em atividade. Em acompanhamento oncológico por doença ativa. Sem sintomas sugestivos de descompensação aguda. Programado retorno com novos exames laboratoriais.</x:v>
      </x:c>
      <x:c r="O122" s="15" t="str">
        <x:v>Não elegível</x:v>
      </x:c>
      <x:c r="P122" s="15" t="str">
        <x:v>Neoplasia ativa</x:v>
      </x:c>
      <x:c r="Q122" s="15" t="str">
        <x:f>IF(AND(B122&gt;=30,B122&lt;=70,F122&gt;=7,F122&lt;=10.5,G122&lt;=1.5,I122&gt;=25,I122&lt;=45,OR(ISNUMBER(SEARCH("diabetes",D122)),ISNUMBER(SEARCH("DM",D122))),ISNUMBER(SEARCH("metformina",J122)),K122="Não",L122="Não"),"Elegível","Não elegível")</x:f>
        <x:v>Não elegível</x:v>
      </x:c>
    </x:row>
    <x:row r="123" ht="54" customHeight="1">
      <x:c r="A123" s="15" t="str">
        <x:v>PAC-122</x:v>
      </x:c>
      <x:c r="B123" s="15" t="n">
        <x:v>56</x:v>
      </x:c>
      <x:c r="C123" s="15" t="str">
        <x:v>F</x:v>
      </x:c>
      <x:c r="D123" s="15" t="str">
        <x:v>Diabetes mellitus tipo 2</x:v>
      </x:c>
      <x:c r="E123" s="15" t="str">
        <x:v>Esteatose hepática</x:v>
      </x:c>
      <x:c r="F123" s="18" t="n">
        <x:v>8.9</x:v>
      </x:c>
      <x:c r="G123" s="20" t="n">
        <x:v>1.19</x:v>
      </x:c>
      <x:c r="H123" s="15" t="n">
        <x:v>161</x:v>
      </x:c>
      <x:c r="I123" s="18" t="n">
        <x:v>39.7</x:v>
      </x:c>
      <x:c r="J123" s="15" t="str">
        <x:v>Metformina XR 500 mg 2x/dia; Atorvastatina 20 mg à noite</x:v>
      </x:c>
      <x:c r="K123" s="15" t="str">
        <x:v>Sim</x:v>
      </x:c>
      <x:c r="L123" s="15" t="str">
        <x:v>Não</x:v>
      </x:c>
      <x:c r="M123" s="22" t="n">
        <x:v>46142</x:v>
      </x:c>
      <x:c r="N123" s="15" t="str">
        <x:v>Reavaliação clínica de paciente com diabetes tipo 2. 56 anos, sexo F. Nega interrupção recente das medicações. Exames recentes: HbA1c 8.9%, glicemia de jejum 161 mg/dL, creatinina 1.19 mg/dL. IMC 39.7 kg/m². Em uso de Metformina XR 500 mg 2x/dia; Atorvastatina 20 mg à noite. Há registro de neoplasia em atividade. Em acompanhamento oncológico por doença ativa. Nega hipoglicemias sintomáticas. Mantida terapêutica atual até reavaliação.</x:v>
      </x:c>
      <x:c r="O123" s="15" t="str">
        <x:v>Não elegível</x:v>
      </x:c>
      <x:c r="P123" s="15" t="str">
        <x:v>Neoplasia ativa</x:v>
      </x:c>
      <x:c r="Q123" s="15" t="str">
        <x:f>IF(AND(B123&gt;=30,B123&lt;=70,F123&gt;=7,F123&lt;=10.5,G123&lt;=1.5,I123&gt;=25,I123&lt;=45,OR(ISNUMBER(SEARCH("diabetes",D123)),ISNUMBER(SEARCH("DM",D123))),ISNUMBER(SEARCH("metformina",J123)),K123="Não",L123="Não"),"Elegível","Não elegível")</x:f>
        <x:v>Não elegível</x:v>
      </x:c>
    </x:row>
    <x:row r="124" ht="54" customHeight="1">
      <x:c r="A124" s="15" t="str">
        <x:v>PAC-123</x:v>
      </x:c>
      <x:c r="B124" s="15" t="n">
        <x:v>73</x:v>
      </x:c>
      <x:c r="C124" s="15" t="str">
        <x:v>M</x:v>
      </x:c>
      <x:c r="D124" s="15" t="str">
        <x:v>Diabetes tipo 2</x:v>
      </x:c>
      <x:c r="E124" s="15" t="str">
        <x:v>Osteoartrite de joelhos</x:v>
      </x:c>
      <x:c r="F124" s="18" t="n">
        <x:v>8.2</x:v>
      </x:c>
      <x:c r="G124" s="20" t="n">
        <x:v>1.14</x:v>
      </x:c>
      <x:c r="H124" s="15" t="n">
        <x:v>163</x:v>
      </x:c>
      <x:c r="I124" s="18" t="n">
        <x:v>36.4</x:v>
      </x:c>
      <x:c r="J124" s="15" t="str">
        <x:v>Metformina XR 500 mg 2x/dia; Losartana 50 mg 2x/dia</x:v>
      </x:c>
      <x:c r="K124" s="15" t="str">
        <x:v>Não</x:v>
      </x:c>
      <x:c r="L124" s="15" t="str">
        <x:v>Não</x:v>
      </x:c>
      <x:c r="M124" s="22" t="n">
        <x:v>46128</x:v>
      </x:c>
      <x:c r="N124" s="15" t="str">
        <x:v>Paciente em acompanhamento ambulatorial por DM2. 73 anos, sexo M. Refere uso regular das medicações. Exames recentes: HbA1c 8.2%, glicemia de jejum 163 mg/dL, creatinina 1.14 mg/dL. IMC 36.4 kg/m². Em uso de Metformina XR 500 mg 2x/dia; Losartana 50 mg 2x/dia. Idade acima da faixa prevista no protocolo. Nega poliúria, polidipsia ou perda ponderal recente. Orientada manutenção do seguimento e controle laboratorial.</x:v>
      </x:c>
      <x:c r="O124" s="15" t="str">
        <x:v>Não elegível</x:v>
      </x:c>
      <x:c r="P124" s="15" t="str">
        <x:v>Idade acima da faixa</x:v>
      </x:c>
      <x:c r="Q124" s="15" t="str">
        <x:f>IF(AND(B124&gt;=30,B124&lt;=70,F124&gt;=7,F124&lt;=10.5,G124&lt;=1.5,I124&gt;=25,I124&lt;=45,OR(ISNUMBER(SEARCH("diabetes",D124)),ISNUMBER(SEARCH("DM",D124))),ISNUMBER(SEARCH("metformina",J124)),K124="Não",L124="Não"),"Elegível","Não elegível")</x:f>
        <x:v>Não elegível</x:v>
      </x:c>
    </x:row>
    <x:row r="125" ht="54" customHeight="1">
      <x:c r="A125" s="15" t="str">
        <x:v>PAC-124</x:v>
      </x:c>
      <x:c r="B125" s="15" t="n">
        <x:v>28</x:v>
      </x:c>
      <x:c r="C125" s="15" t="str">
        <x:v>F</x:v>
      </x:c>
      <x:c r="D125" s="15" t="str">
        <x:v>Diabetes mellitus tipo 2</x:v>
      </x:c>
      <x:c r="E125" s="15" t="str">
        <x:v>Hipotireoidismo</x:v>
      </x:c>
      <x:c r="F125" s="18" t="n">
        <x:v>8.3</x:v>
      </x:c>
      <x:c r="G125" s="20" t="n">
        <x:v>1.3</x:v>
      </x:c>
      <x:c r="H125" s="15" t="n">
        <x:v>170</x:v>
      </x:c>
      <x:c r="I125" s="18" t="n">
        <x:v>40.1</x:v>
      </x:c>
      <x:c r="J125" s="15" t="str">
        <x:v>Metformina 850 mg 2x/dia; Losartana 50 mg/dia; Atorvastatina 20 mg/noite</x:v>
      </x:c>
      <x:c r="K125" s="15" t="str">
        <x:v>Não</x:v>
      </x:c>
      <x:c r="L125" s="15" t="str">
        <x:v>Não</x:v>
      </x:c>
      <x:c r="M125" s="22" t="n">
        <x:v>46155</x:v>
      </x:c>
      <x:c r="N125" s="15" t="str">
        <x:v>Em consulta de rotina para controle metabólico. 28 anos, sexo F. Relata boa adesão ao tratamento prescrito. Exames recentes: HbA1c 8.3%, glicemia de jejum 170 mg/dL, creatinina 1.30 mg/dL. IMC 40.1 kg/m². Em uso de Metformina 850 mg 2x/dia; Losartana 50 mg/dia; Atorvastatina 20 mg/noite. Idade fora da faixa prevista no protocolo. Sem queixas agudas no momento. Mantida terapêutica atual até reavaliação.</x:v>
      </x:c>
      <x:c r="O125" s="15" t="str">
        <x:v>Não elegível</x:v>
      </x:c>
      <x:c r="P125" s="15" t="str">
        <x:v>Idade abaixo da faixa</x:v>
      </x:c>
      <x:c r="Q125" s="15" t="str">
        <x:f>IF(AND(B125&gt;=30,B125&lt;=70,F125&gt;=7,F125&lt;=10.5,G125&lt;=1.5,I125&gt;=25,I125&lt;=45,OR(ISNUMBER(SEARCH("diabetes",D125)),ISNUMBER(SEARCH("DM",D125))),ISNUMBER(SEARCH("metformina",J125)),K125="Não",L125="Não"),"Elegível","Não elegível")</x:f>
        <x:v>Não elegível</x:v>
      </x:c>
    </x:row>
    <x:row r="126" ht="54" customHeight="1">
      <x:c r="A126" s="15" t="str">
        <x:v>PAC-125</x:v>
      </x:c>
      <x:c r="B126" s="15" t="n">
        <x:v>44</x:v>
      </x:c>
      <x:c r="C126" s="15" t="str">
        <x:v>F</x:v>
      </x:c>
      <x:c r="D126" s="15" t="str">
        <x:v>Diabetes mellitus tipo II</x:v>
      </x:c>
      <x:c r="E126" s="15" t="str">
        <x:v>Esteatose hepática</x:v>
      </x:c>
      <x:c r="F126" s="18" t="n">
        <x:v>8.5</x:v>
      </x:c>
      <x:c r="G126" s="20" t="n">
        <x:v>0.89</x:v>
      </x:c>
      <x:c r="H126" s="15" t="n">
        <x:v>183</x:v>
      </x:c>
      <x:c r="I126" s="18" t="n">
        <x:v>29.6</x:v>
      </x:c>
      <x:c r="J126" s="15" t="str">
        <x:v>Metformina 500 mg 2x/dia</x:v>
      </x:c>
      <x:c r="K126" s="15" t="str">
        <x:v>Sim</x:v>
      </x:c>
      <x:c r="L126" s="15" t="str">
        <x:v>Não</x:v>
      </x:c>
      <x:c r="M126" s="22" t="n">
        <x:v>46121</x:v>
      </x:c>
      <x:c r="N126" s="15" t="str">
        <x:v>Retorna para seguimento de diabetes mellitus tipo 2. 44 anos, sexo F. Relata boa adesão ao tratamento prescrito. Exames recentes: HbA1c 8.5%, glicemia de jejum 183 mg/dL, creatinina 0.89 mg/dL. IMC 29.6 kg/m². Em uso de Metformina 500 mg 2x/dia. Há registro de neoplasia em atividade. Em acompanhamento oncológico por doença ativa. Nega poliúria, polidipsia ou perda ponderal recente. Mantida terapêutica atual até reavaliação.</x:v>
      </x:c>
      <x:c r="O126" s="15" t="str">
        <x:v>Não elegível</x:v>
      </x:c>
      <x:c r="P126" s="15" t="str">
        <x:v>Neoplasia ativa</x:v>
      </x:c>
      <x:c r="Q126" s="15" t="str">
        <x:f>IF(AND(B126&gt;=30,B126&lt;=70,F126&gt;=7,F126&lt;=10.5,G126&lt;=1.5,I126&gt;=25,I126&lt;=45,OR(ISNUMBER(SEARCH("diabetes",D126)),ISNUMBER(SEARCH("DM",D126))),ISNUMBER(SEARCH("metformina",J126)),K126="Não",L126="Não"),"Elegível","Não elegível")</x:f>
        <x:v>Não elegível</x:v>
      </x:c>
    </x:row>
    <x:row r="127" ht="54" customHeight="1">
      <x:c r="A127" s="15" t="str">
        <x:v>PAC-126</x:v>
      </x:c>
      <x:c r="B127" s="15" t="n">
        <x:v>64</x:v>
      </x:c>
      <x:c r="C127" s="15" t="str">
        <x:v>F</x:v>
      </x:c>
      <x:c r="D127" s="15" t="str">
        <x:v>DM2</x:v>
      </x:c>
      <x:c r="E127" s="15" t="str">
        <x:v>Sem comorbidades relevantes</x:v>
      </x:c>
      <x:c r="F127" s="18" t="n">
        <x:v>9.6</x:v>
      </x:c>
      <x:c r="G127" s="20" t="n">
        <x:v>2.23</x:v>
      </x:c>
      <x:c r="H127" s="15" t="n">
        <x:v>187</x:v>
      </x:c>
      <x:c r="I127" s="18" t="n">
        <x:v>39.3</x:v>
      </x:c>
      <x:c r="J127" s="15" t="str">
        <x:v>Metformina 850 mg manhã e noite; Sinvastatina 20 mg à noite</x:v>
      </x:c>
      <x:c r="K127" s="15" t="str">
        <x:v>Não</x:v>
      </x:c>
      <x:c r="L127" s="15" t="str">
        <x:v>Não</x:v>
      </x:c>
      <x:c r="M127" s="22" t="n">
        <x:v>46239</x:v>
      </x:c>
      <x:c r="N127" s="15" t="str">
        <x:v>Reavaliação clínica de paciente com diabetes tipo 2. 64 anos, sexo F. Nega interrupção recente das medicações. Exames recentes: HbA1c 9.6%, glicemia de jejum 187 mg/dL, creatinina 2.23 mg/dL. IMC 39.3 kg/m². Em uso de Metformina 850 mg manhã e noite; Sinvastatina 20 mg à noite. Função renal acima do limite previsto no protocolo. Nega poliúria, polidipsia ou perda ponderal recente. Mantido acompanhamento e reforçadas medidas de estilo de vida.</x:v>
      </x:c>
      <x:c r="O127" s="15" t="str">
        <x:v>Não elegível</x:v>
      </x:c>
      <x:c r="P127" s="15" t="str">
        <x:v>Creatinina acima do limite</x:v>
      </x:c>
      <x:c r="Q127" s="15" t="str">
        <x:f>IF(AND(B127&gt;=30,B127&lt;=70,F127&gt;=7,F127&lt;=10.5,G127&lt;=1.5,I127&gt;=25,I127&lt;=45,OR(ISNUMBER(SEARCH("diabetes",D127)),ISNUMBER(SEARCH("DM",D127))),ISNUMBER(SEARCH("metformina",J127)),K127="Não",L127="Não"),"Elegível","Não elegível")</x:f>
        <x:v>Não elegível</x:v>
      </x:c>
    </x:row>
    <x:row r="128" ht="54" customHeight="1">
      <x:c r="A128" s="15" t="str">
        <x:v>PAC-127</x:v>
      </x:c>
      <x:c r="B128" s="15" t="n">
        <x:v>63</x:v>
      </x:c>
      <x:c r="C128" s="15" t="str">
        <x:v>F</x:v>
      </x:c>
      <x:c r="D128" s="15" t="str">
        <x:v>DM tipo II</x:v>
      </x:c>
      <x:c r="E128" s="15" t="str">
        <x:v>Osteoartrite de joelhos</x:v>
      </x:c>
      <x:c r="F128" s="18" t="n">
        <x:v>8.7</x:v>
      </x:c>
      <x:c r="G128" s="20" t="n">
        <x:v>1.35</x:v>
      </x:c>
      <x:c r="H128" s="15" t="n">
        <x:v>160</x:v>
      </x:c>
      <x:c r="I128" s="18" t="n">
        <x:v>39.3</x:v>
      </x:c>
      <x:c r="J128" s="15" t="str">
        <x:v>Metformina XR 1.000 mg à noite; Losartana 50 mg 2x/dia</x:v>
      </x:c>
      <x:c r="K128" s="15" t="str">
        <x:v>Não</x:v>
      </x:c>
      <x:c r="L128" s="15" t="str">
        <x:v>Sim</x:v>
      </x:c>
      <x:c r="M128" s="22" t="n">
        <x:v>46116</x:v>
      </x:c>
      <x:c r="N128" s="15" t="str">
        <x:v>Paciente em acompanhamento ambulatorial por DM2. 63 anos, sexo F. Refere adesão parcial às medidas não farmacológicas. Exames recentes: HbA1c 8.7%, glicemia de jejum 160 mg/dL, creatinina 1.35 mg/dL. IMC 39.3 kg/m². Em uso de Metformina XR 1.000 mg à noite; Losartana 50 mg 2x/dia. Gestação atual registrada em prontuário. Gestação confirmada no atendimento atual. Nega hipoglicemias sintomáticas. Mantido acompanhamento e reforçadas medidas de estilo de vida.</x:v>
      </x:c>
      <x:c r="O128" s="15" t="str">
        <x:v>Não elegível</x:v>
      </x:c>
      <x:c r="P128" s="15" t="str">
        <x:v>Gestação</x:v>
      </x:c>
      <x:c r="Q128" s="15" t="str">
        <x:f>IF(AND(B128&gt;=30,B128&lt;=70,F128&gt;=7,F128&lt;=10.5,G128&lt;=1.5,I128&gt;=25,I128&lt;=45,OR(ISNUMBER(SEARCH("diabetes",D128)),ISNUMBER(SEARCH("DM",D128))),ISNUMBER(SEARCH("metformina",J128)),K128="Não",L128="Não"),"Elegível","Não elegível")</x:f>
        <x:v>Não elegível</x:v>
      </x:c>
    </x:row>
    <x:row r="129" ht="54" customHeight="1">
      <x:c r="A129" s="15" t="str">
        <x:v>PAC-128</x:v>
      </x:c>
      <x:c r="B129" s="15" t="n">
        <x:v>61</x:v>
      </x:c>
      <x:c r="C129" s="15" t="str">
        <x:v>F</x:v>
      </x:c>
      <x:c r="D129" s="15" t="str">
        <x:v>DM tipo II</x:v>
      </x:c>
      <x:c r="E129" s="15" t="str">
        <x:v>Obesidade; Hipertensão arterial sistêmica</x:v>
      </x:c>
      <x:c r="F129" s="18" t="n">
        <x:v>7.7</x:v>
      </x:c>
      <x:c r="G129" s="20" t="n">
        <x:v>1.21</x:v>
      </x:c>
      <x:c r="H129" s="15" t="n">
        <x:v>156</x:v>
      </x:c>
      <x:c r="I129" s="18" t="n">
        <x:v>37.1</x:v>
      </x:c>
      <x:c r="J129" s="15" t="str">
        <x:v>Sitagliptina 100 mg/dia</x:v>
      </x:c>
      <x:c r="K129" s="15" t="str">
        <x:v>Não</x:v>
      </x:c>
      <x:c r="L129" s="15" t="str">
        <x:v>Não</x:v>
      </x:c>
      <x:c r="M129" s="22" t="n">
        <x:v>46235</x:v>
      </x:c>
      <x:c r="N129" s="15" t="str">
        <x:v>Reavaliação clínica de paciente com diabetes tipo 2. 61 anos, sexo F. Refere uso regular das medicações. Exames recentes: HbA1c 7.7%, glicemia de jejum 156 mg/dL, creatinina 1.21 mg/dL. IMC 37.1 kg/m². Em uso de Sitagliptina 100 mg/dia. Não há metformina entre as medicações em uso. Nega poliúria, polidipsia ou perda ponderal recente. Programado retorno com novos exames laboratoriais.</x:v>
      </x:c>
      <x:c r="O129" s="15" t="str">
        <x:v>Não elegível</x:v>
      </x:c>
      <x:c r="P129" s="15" t="str">
        <x:v>Sem uso de Metformina</x:v>
      </x:c>
      <x:c r="Q129" s="15" t="str">
        <x:f>IF(AND(B129&gt;=30,B129&lt;=70,F129&gt;=7,F129&lt;=10.5,G129&lt;=1.5,I129&gt;=25,I129&lt;=45,OR(ISNUMBER(SEARCH("diabetes",D129)),ISNUMBER(SEARCH("DM",D129))),ISNUMBER(SEARCH("metformina",J129)),K129="Não",L129="Não"),"Elegível","Não elegível")</x:f>
        <x:v>Não elegível</x:v>
      </x:c>
    </x:row>
    <x:row r="130" ht="54" customHeight="1">
      <x:c r="A130" s="15" t="str">
        <x:v>PAC-129</x:v>
      </x:c>
      <x:c r="B130" s="15" t="n">
        <x:v>81</x:v>
      </x:c>
      <x:c r="C130" s="15" t="str">
        <x:v>F</x:v>
      </x:c>
      <x:c r="D130" s="15" t="str">
        <x:v>Diabetes mellitus tipo 2</x:v>
      </x:c>
      <x:c r="E130" s="15" t="str">
        <x:v>Hipertensão arterial sistêmica</x:v>
      </x:c>
      <x:c r="F130" s="18" t="n">
        <x:v>7.8</x:v>
      </x:c>
      <x:c r="G130" s="20" t="n">
        <x:v>0.84</x:v>
      </x:c>
      <x:c r="H130" s="15" t="n">
        <x:v>150</x:v>
      </x:c>
      <x:c r="I130" s="18" t="n">
        <x:v>35.2</x:v>
      </x:c>
      <x:c r="J130" s="15" t="str">
        <x:v>Metformina XR 1.000 mg à noite; Levotiroxina 75 mcg/dia</x:v>
      </x:c>
      <x:c r="K130" s="15" t="str">
        <x:v>Não</x:v>
      </x:c>
      <x:c r="L130" s="15" t="str">
        <x:v>Não</x:v>
      </x:c>
      <x:c r="M130" s="22" t="n">
        <x:v>46069</x:v>
      </x:c>
      <x:c r="N130" s="15" t="str">
        <x:v>Em consulta de rotina para controle metabólico. 81 anos, sexo F. Nega interrupção recente das medicações. Exames recentes: HbA1c 7.8%, glicemia de jejum 150 mg/dL, creatinina 0.84 mg/dL. IMC 35.2 kg/m². Em uso de Metformina XR 1.000 mg à noite; Levotiroxina 75 mcg/dia. Idade acima da faixa prevista no protocolo. Sem sintomas sugestivos de descompensação aguda. Mantida terapêutica atual até reavaliação.</x:v>
      </x:c>
      <x:c r="O130" s="15" t="str">
        <x:v>Não elegível</x:v>
      </x:c>
      <x:c r="P130" s="15" t="str">
        <x:v>Idade acima da faixa</x:v>
      </x:c>
      <x:c r="Q130" s="15" t="str">
        <x:f>IF(AND(B130&gt;=30,B130&lt;=70,F130&gt;=7,F130&lt;=10.5,G130&lt;=1.5,I130&gt;=25,I130&lt;=45,OR(ISNUMBER(SEARCH("diabetes",D130)),ISNUMBER(SEARCH("DM",D130))),ISNUMBER(SEARCH("metformina",J130)),K130="Não",L130="Não"),"Elegível","Não elegível")</x:f>
        <x:v>Não elegível</x:v>
      </x:c>
    </x:row>
    <x:row r="131" ht="54" customHeight="1">
      <x:c r="A131" s="15" t="str">
        <x:v>PAC-130</x:v>
      </x:c>
      <x:c r="B131" s="15" t="n">
        <x:v>43</x:v>
      </x:c>
      <x:c r="C131" s="15" t="str">
        <x:v>F</x:v>
      </x:c>
      <x:c r="D131" s="15" t="str">
        <x:v>Diabetes tipo 2</x:v>
      </x:c>
      <x:c r="E131" s="15" t="str">
        <x:v>Dislipidemia</x:v>
      </x:c>
      <x:c r="F131" s="18" t="n">
        <x:v>7.6</x:v>
      </x:c>
      <x:c r="G131" s="20" t="n">
        <x:v>0.67</x:v>
      </x:c>
      <x:c r="H131" s="15" t="n">
        <x:v>157</x:v>
      </x:c>
      <x:c r="I131" s="18" t="n">
        <x:v>26</x:v>
      </x:c>
      <x:c r="J131" s="15" t="str">
        <x:v>Metformina XR 500 mg 2x/dia; Levotiroxina 75 mcg/dia</x:v>
      </x:c>
      <x:c r="K131" s="15" t="str">
        <x:v>Não</x:v>
      </x:c>
      <x:c r="L131" s="15" t="str">
        <x:v>Sim</x:v>
      </x:c>
      <x:c r="M131" s="22" t="n">
        <x:v>46197</x:v>
      </x:c>
      <x:c r="N131" s="15" t="str">
        <x:v>Reavaliação clínica de paciente com diabetes tipo 2. 43 anos, sexo F. Nega interrupção recente das medicações. Exames recentes: HbA1c 7.6%, glicemia de jejum 157 mg/dL, creatinina 0.67 mg/dL. IMC 26.0 kg/m². Em uso de Metformina XR 500 mg 2x/dia; Levotiroxina 75 mcg/dia. Gestação atual registrada em prontuário. Gestação confirmada no atendimento atual. Nega poliúria, polidipsia ou perda ponderal recente. Programado retorno com novos exames laboratoriais.</x:v>
      </x:c>
      <x:c r="O131" s="15" t="str">
        <x:v>Não elegível</x:v>
      </x:c>
      <x:c r="P131" s="15" t="str">
        <x:v>Gestação</x:v>
      </x:c>
      <x:c r="Q131" s="15" t="str">
        <x:f>IF(AND(B131&gt;=30,B131&lt;=70,F131&gt;=7,F131&lt;=10.5,G131&lt;=1.5,I131&gt;=25,I131&lt;=45,OR(ISNUMBER(SEARCH("diabetes",D131)),ISNUMBER(SEARCH("DM",D131))),ISNUMBER(SEARCH("metformina",J131)),K131="Não",L131="Não"),"Elegível","Não elegível")</x:f>
        <x:v>Não elegível</x:v>
      </x:c>
    </x:row>
    <x:row r="132" ht="54" customHeight="1">
      <x:c r="A132" s="15" t="str">
        <x:v>PAC-131</x:v>
      </x:c>
      <x:c r="B132" s="15" t="n">
        <x:v>38</x:v>
      </x:c>
      <x:c r="C132" s="15" t="str">
        <x:v>M</x:v>
      </x:c>
      <x:c r="D132" s="15" t="str">
        <x:v>DM tipo II</x:v>
      </x:c>
      <x:c r="E132" s="15" t="str">
        <x:v>Hipertensão arterial sistêmica</x:v>
      </x:c>
      <x:c r="F132" s="18" t="n">
        <x:v>7.8</x:v>
      </x:c>
      <x:c r="G132" s="20" t="n">
        <x:v>1.23</x:v>
      </x:c>
      <x:c r="H132" s="15" t="n">
        <x:v>166</x:v>
      </x:c>
      <x:c r="I132" s="18" t="n">
        <x:v>21.1</x:v>
      </x:c>
      <x:c r="J132" s="15" t="str">
        <x:v>Metformina 850 mg 2x/dia; Levotiroxina 75 mcg/dia</x:v>
      </x:c>
      <x:c r="K132" s="15" t="str">
        <x:v>Não</x:v>
      </x:c>
      <x:c r="L132" s="15" t="str">
        <x:v>Não</x:v>
      </x:c>
      <x:c r="M132" s="22" t="n">
        <x:v>46075</x:v>
      </x:c>
      <x:c r="N132" s="15" t="str">
        <x:v>Reavaliação clínica de paciente com diabetes tipo 2. 38 anos, sexo M. Nega interrupção recente das medicações. Exames recentes: HbA1c 7.8%, glicemia de jejum 166 mg/dL, creatinina 1.23 mg/dL. IMC 21.1 kg/m². Em uso de Metformina 850 mg 2x/dia; Levotiroxina 75 mcg/dia. IMC abaixo do limite de inclusão. Clinicamente estável, sem intercorrências recentes. Programado retorno com novos exames laboratoriais.</x:v>
      </x:c>
      <x:c r="O132" s="15" t="str">
        <x:v>Não elegível</x:v>
      </x:c>
      <x:c r="P132" s="15" t="str">
        <x:v>IMC abaixo da faixa</x:v>
      </x:c>
      <x:c r="Q132" s="15" t="str">
        <x:f>IF(AND(B132&gt;=30,B132&lt;=70,F132&gt;=7,F132&lt;=10.5,G132&lt;=1.5,I132&gt;=25,I132&lt;=45,OR(ISNUMBER(SEARCH("diabetes",D132)),ISNUMBER(SEARCH("DM",D132))),ISNUMBER(SEARCH("metformina",J132)),K132="Não",L132="Não"),"Elegível","Não elegível")</x:f>
        <x:v>Não elegível</x:v>
      </x:c>
    </x:row>
    <x:row r="133" ht="54" customHeight="1">
      <x:c r="A133" s="15" t="str">
        <x:v>PAC-132</x:v>
      </x:c>
      <x:c r="B133" s="15" t="n">
        <x:v>74</x:v>
      </x:c>
      <x:c r="C133" s="15" t="str">
        <x:v>M</x:v>
      </x:c>
      <x:c r="D133" s="15" t="str">
        <x:v>DM tipo II</x:v>
      </x:c>
      <x:c r="E133" s="15" t="str">
        <x:v>Hipotireoidismo</x:v>
      </x:c>
      <x:c r="F133" s="18" t="n">
        <x:v>8</x:v>
      </x:c>
      <x:c r="G133" s="20" t="n">
        <x:v>0.95</x:v>
      </x:c>
      <x:c r="H133" s="15" t="n">
        <x:v>154</x:v>
      </x:c>
      <x:c r="I133" s="18" t="n">
        <x:v>34</x:v>
      </x:c>
      <x:c r="J133" s="15" t="str">
        <x:v>Metformina XR 500 mg 2x/dia; Levotiroxina 75 mcg/dia</x:v>
      </x:c>
      <x:c r="K133" s="15" t="str">
        <x:v>Não</x:v>
      </x:c>
      <x:c r="L133" s="15" t="str">
        <x:v>Não</x:v>
      </x:c>
      <x:c r="M133" s="22" t="n">
        <x:v>46147</x:v>
      </x:c>
      <x:c r="N133" s="15" t="str">
        <x:v>Paciente em acompanhamento ambulatorial por DM2. 74 anos, sexo M. Refere adesão parcial às medidas não farmacológicas. Exames recentes: HbA1c 8.0%, glicemia de jejum 154 mg/dL, creatinina 0.95 mg/dL. IMC 34.0 kg/m². Em uso de Metformina XR 500 mg 2x/dia; Levotiroxina 75 mcg/dia. Idade acima da faixa prevista no protocolo. Sem queixas agudas no momento. Mantido acompanhamento e reforçadas medidas de estilo de vida.</x:v>
      </x:c>
      <x:c r="O133" s="15" t="str">
        <x:v>Não elegível</x:v>
      </x:c>
      <x:c r="P133" s="15" t="str">
        <x:v>Idade acima da faixa</x:v>
      </x:c>
      <x:c r="Q133" s="15" t="str">
        <x:f>IF(AND(B133&gt;=30,B133&lt;=70,F133&gt;=7,F133&lt;=10.5,G133&lt;=1.5,I133&gt;=25,I133&lt;=45,OR(ISNUMBER(SEARCH("diabetes",D133)),ISNUMBER(SEARCH("DM",D133))),ISNUMBER(SEARCH("metformina",J133)),K133="Não",L133="Não"),"Elegível","Não elegível")</x:f>
        <x:v>Não elegível</x:v>
      </x:c>
    </x:row>
    <x:row r="134" ht="54" customHeight="1">
      <x:c r="A134" s="15" t="str">
        <x:v>PAC-133</x:v>
      </x:c>
      <x:c r="B134" s="15" t="n">
        <x:v>27</x:v>
      </x:c>
      <x:c r="C134" s="15" t="str">
        <x:v>M</x:v>
      </x:c>
      <x:c r="D134" s="15" t="str">
        <x:v>Diabetes mellitus tipo 2</x:v>
      </x:c>
      <x:c r="E134" s="15" t="str">
        <x:v>Hipertensão arterial sistêmica; Dislipidemia</x:v>
      </x:c>
      <x:c r="F134" s="18" t="n">
        <x:v>9.3</x:v>
      </x:c>
      <x:c r="G134" s="20" t="n">
        <x:v>1.29</x:v>
      </x:c>
      <x:c r="H134" s="15" t="n">
        <x:v>180</x:v>
      </x:c>
      <x:c r="I134" s="18" t="n">
        <x:v>33.2</x:v>
      </x:c>
      <x:c r="J134" s="15" t="str">
        <x:v>Metformina 500 mg 2x/dia; Atorvastatina 20 mg à noite</x:v>
      </x:c>
      <x:c r="K134" s="15" t="str">
        <x:v>Não</x:v>
      </x:c>
      <x:c r="L134" s="15" t="str">
        <x:v>Não</x:v>
      </x:c>
      <x:c r="M134" s="22" t="n">
        <x:v>46078</x:v>
      </x:c>
      <x:c r="N134" s="15" t="str">
        <x:v>Paciente com diagnóstico prévio de DM2, em seguimento regular. 27 anos, sexo M. Informa uso irregular da dieta, porém mantém as medicações. Exames recentes: HbA1c 9.3%, glicemia de jejum 180 mg/dL, creatinina 1.29 mg/dL. IMC 33.2 kg/m². Em uso de Metformina 500 mg 2x/dia; Atorvastatina 20 mg à noite. Idade fora da faixa prevista no protocolo. Nega hipoglicemias sintomáticas. Orientada manutenção do seguimento e controle laboratorial.</x:v>
      </x:c>
      <x:c r="O134" s="15" t="str">
        <x:v>Não elegível</x:v>
      </x:c>
      <x:c r="P134" s="15" t="str">
        <x:v>Idade abaixo da faixa</x:v>
      </x:c>
      <x:c r="Q134" s="15" t="str">
        <x:f>IF(AND(B134&gt;=30,B134&lt;=70,F134&gt;=7,F134&lt;=10.5,G134&lt;=1.5,I134&gt;=25,I134&lt;=45,OR(ISNUMBER(SEARCH("diabetes",D134)),ISNUMBER(SEARCH("DM",D134))),ISNUMBER(SEARCH("metformina",J134)),K134="Não",L134="Não"),"Elegível","Não elegível")</x:f>
        <x:v>Não elegível</x:v>
      </x:c>
    </x:row>
    <x:row r="135" ht="54" customHeight="1">
      <x:c r="A135" s="15" t="str">
        <x:v>PAC-134</x:v>
      </x:c>
      <x:c r="B135" s="15" t="n">
        <x:v>57</x:v>
      </x:c>
      <x:c r="C135" s="15" t="str">
        <x:v>M</x:v>
      </x:c>
      <x:c r="D135" s="15" t="str">
        <x:v>Diabetes mellitus tipo II</x:v>
      </x:c>
      <x:c r="E135" s="15" t="str">
        <x:v>Osteoartrite de joelhos</x:v>
      </x:c>
      <x:c r="F135" s="18" t="n">
        <x:v>9.4</x:v>
      </x:c>
      <x:c r="G135" s="20" t="n">
        <x:v>0.84</x:v>
      </x:c>
      <x:c r="H135" s="15" t="n">
        <x:v>190</x:v>
      </x:c>
      <x:c r="I135" s="18" t="n">
        <x:v>33.9</x:v>
      </x:c>
      <x:c r="J135" s="15" t="str">
        <x:v>Metformina 850 mg manhã e noite</x:v>
      </x:c>
      <x:c r="K135" s="15" t="str">
        <x:v>Sim</x:v>
      </x:c>
      <x:c r="L135" s="15" t="str">
        <x:v>Não</x:v>
      </x:c>
      <x:c r="M135" s="22" t="n">
        <x:v>46221</x:v>
      </x:c>
      <x:c r="N135" s="15" t="str">
        <x:v>Paciente com diagnóstico prévio de DM2, em seguimento regular. 57 anos, sexo M. Refere uso regular das medicações. Exames recentes: HbA1c 9.4%, glicemia de jejum 190 mg/dL, creatinina 0.84 mg/dL. IMC 33.9 kg/m². Em uso de Metformina 850 mg manhã e noite. Há registro de neoplasia em atividade. Em acompanhamento oncológico por doença ativa. Nega hipoglicemias sintomáticas. Orientada manutenção do seguimento e controle laboratorial.</x:v>
      </x:c>
      <x:c r="O135" s="15" t="str">
        <x:v>Não elegível</x:v>
      </x:c>
      <x:c r="P135" s="15" t="str">
        <x:v>Neoplasia ativa</x:v>
      </x:c>
      <x:c r="Q135" s="15" t="str">
        <x:f>IF(AND(B135&gt;=30,B135&lt;=70,F135&gt;=7,F135&lt;=10.5,G135&lt;=1.5,I135&gt;=25,I135&lt;=45,OR(ISNUMBER(SEARCH("diabetes",D135)),ISNUMBER(SEARCH("DM",D135))),ISNUMBER(SEARCH("metformina",J135)),K135="Não",L135="Não"),"Elegível","Não elegível")</x:f>
        <x:v>Não elegível</x:v>
      </x:c>
    </x:row>
    <x:row r="136" ht="54" customHeight="1">
      <x:c r="A136" s="15" t="str">
        <x:v>PAC-135</x:v>
      </x:c>
      <x:c r="B136" s="15" t="n">
        <x:v>61</x:v>
      </x:c>
      <x:c r="C136" s="15" t="str">
        <x:v>F</x:v>
      </x:c>
      <x:c r="D136" s="15" t="str">
        <x:v>Diabetes mellitus tipo II</x:v>
      </x:c>
      <x:c r="E136" s="15" t="str">
        <x:v>Osteoartrite de joelhos</x:v>
      </x:c>
      <x:c r="F136" s="18" t="n">
        <x:v>6.6</x:v>
      </x:c>
      <x:c r="G136" s="20" t="n">
        <x:v>1.32</x:v>
      </x:c>
      <x:c r="H136" s="15" t="n">
        <x:v>148</x:v>
      </x:c>
      <x:c r="I136" s="18" t="n">
        <x:v>34.9</x:v>
      </x:c>
      <x:c r="J136" s="15" t="str">
        <x:v>Metformina 1.000 mg 2x/dia; Amlodipino 5 mg/dia</x:v>
      </x:c>
      <x:c r="K136" s="15" t="str">
        <x:v>Não</x:v>
      </x:c>
      <x:c r="L136" s="15" t="str">
        <x:v>Não</x:v>
      </x:c>
      <x:c r="M136" s="22" t="n">
        <x:v>46092</x:v>
      </x:c>
      <x:c r="N136" s="15" t="str">
        <x:v>Paciente com diagnóstico prévio de DM2, em seguimento regular. 61 anos, sexo F. Refere adesão parcial às medidas não farmacológicas. Exames recentes: HbA1c 6.6%, glicemia de jejum 148 mg/dL, creatinina 1.32 mg/dL. IMC 34.9 kg/m². Em uso de Metformina 1.000 mg 2x/dia; Amlodipino 5 mg/dia. HbA1c abaixo da faixa definida para inclusão. Clinicamente estável, sem intercorrências recentes. Programado retorno com novos exames laboratoriais.</x:v>
      </x:c>
      <x:c r="O136" s="15" t="str">
        <x:v>Não elegível</x:v>
      </x:c>
      <x:c r="P136" s="15" t="str">
        <x:v>HbA1c abaixo da faixa</x:v>
      </x:c>
      <x:c r="Q136" s="15" t="str">
        <x:f>IF(AND(B136&gt;=30,B136&lt;=70,F136&gt;=7,F136&lt;=10.5,G136&lt;=1.5,I136&gt;=25,I136&lt;=45,OR(ISNUMBER(SEARCH("diabetes",D136)),ISNUMBER(SEARCH("DM",D136))),ISNUMBER(SEARCH("metformina",J136)),K136="Não",L136="Não"),"Elegível","Não elegível")</x:f>
        <x:v>Não elegível</x:v>
      </x:c>
    </x:row>
    <x:row r="137" ht="54" customHeight="1">
      <x:c r="A137" s="15" t="str">
        <x:v>PAC-136</x:v>
      </x:c>
      <x:c r="B137" s="15" t="n">
        <x:v>53</x:v>
      </x:c>
      <x:c r="C137" s="15" t="str">
        <x:v>F</x:v>
      </x:c>
      <x:c r="D137" s="15" t="str">
        <x:v>Diabetes mellitus tipo II</x:v>
      </x:c>
      <x:c r="E137" s="15" t="str">
        <x:v>Obesidade; Hipertensão arterial sistêmica</x:v>
      </x:c>
      <x:c r="F137" s="18" t="n">
        <x:v>8.4</x:v>
      </x:c>
      <x:c r="G137" s="20" t="n">
        <x:v>1.32</x:v>
      </x:c>
      <x:c r="H137" s="15" t="n">
        <x:v>177</x:v>
      </x:c>
      <x:c r="I137" s="18" t="n">
        <x:v>24.1</x:v>
      </x:c>
      <x:c r="J137" s="15" t="str">
        <x:v>Metformina XR 500 mg 2x/dia</x:v>
      </x:c>
      <x:c r="K137" s="15" t="str">
        <x:v>Não</x:v>
      </x:c>
      <x:c r="L137" s="15" t="str">
        <x:v>Não</x:v>
      </x:c>
      <x:c r="M137" s="22" t="n">
        <x:v>46083</x:v>
      </x:c>
      <x:c r="N137" s="15" t="str">
        <x:v>Paciente em acompanhamento ambulatorial por DM2. 53 anos, sexo F. Nega interrupção recente das medicações. Exames recentes: HbA1c 8.4%, glicemia de jejum 177 mg/dL, creatinina 1.32 mg/dL. IMC 24.1 kg/m². Em uso de Metformina XR 500 mg 2x/dia. IMC abaixo do limite de inclusão. Clinicamente estável, sem intercorrências recentes. Programado retorno com novos exames laboratoriais.</x:v>
      </x:c>
      <x:c r="O137" s="15" t="str">
        <x:v>Não elegível</x:v>
      </x:c>
      <x:c r="P137" s="15" t="str">
        <x:v>IMC abaixo da faixa</x:v>
      </x:c>
      <x:c r="Q137" s="15" t="str">
        <x:f>IF(AND(B137&gt;=30,B137&lt;=70,F137&gt;=7,F137&lt;=10.5,G137&lt;=1.5,I137&gt;=25,I137&lt;=45,OR(ISNUMBER(SEARCH("diabetes",D137)),ISNUMBER(SEARCH("DM",D137))),ISNUMBER(SEARCH("metformina",J137)),K137="Não",L137="Não"),"Elegível","Não elegível")</x:f>
        <x:v>Não elegível</x:v>
      </x:c>
    </x:row>
    <x:row r="138" ht="54" customHeight="1">
      <x:c r="A138" s="15" t="str">
        <x:v>PAC-137</x:v>
      </x:c>
      <x:c r="B138" s="15" t="n">
        <x:v>59</x:v>
      </x:c>
      <x:c r="C138" s="15" t="str">
        <x:v>F</x:v>
      </x:c>
      <x:c r="D138" s="15" t="str">
        <x:v>Diabetes mellitus tipo II</x:v>
      </x:c>
      <x:c r="E138" s="15" t="str">
        <x:v>Hipertensão arterial sistêmica</x:v>
      </x:c>
      <x:c r="F138" s="18" t="n">
        <x:v>9.7</x:v>
      </x:c>
      <x:c r="G138" s="20" t="n">
        <x:v>0.79</x:v>
      </x:c>
      <x:c r="H138" s="15" t="n">
        <x:v>195</x:v>
      </x:c>
      <x:c r="I138" s="18" t="n">
        <x:v>23.8</x:v>
      </x:c>
      <x:c r="J138" s="15" t="str">
        <x:v>Metformina XR 500 mg 2x/dia; Levotiroxina 75 mcg/dia</x:v>
      </x:c>
      <x:c r="K138" s="15" t="str">
        <x:v>Não</x:v>
      </x:c>
      <x:c r="L138" s="15" t="str">
        <x:v>Não</x:v>
      </x:c>
      <x:c r="M138" s="22" t="n">
        <x:v>46075</x:v>
      </x:c>
      <x:c r="N138" s="15" t="str">
        <x:v>Paciente em acompanhamento ambulatorial por DM2. 59 anos, sexo F. Relata boa adesão ao tratamento prescrito. Exames recentes: HbA1c 9.7%, glicemia de jejum 195 mg/dL, creatinina 0.79 mg/dL. IMC 23.8 kg/m². Em uso de Metformina XR 500 mg 2x/dia; Levotiroxina 75 mcg/dia. IMC abaixo do limite de inclusão. Sem queixas agudas no momento. Programado retorno com novos exames laboratoriais.</x:v>
      </x:c>
      <x:c r="O138" s="15" t="str">
        <x:v>Não elegível</x:v>
      </x:c>
      <x:c r="P138" s="15" t="str">
        <x:v>IMC abaixo da faixa</x:v>
      </x:c>
      <x:c r="Q138" s="15" t="str">
        <x:f>IF(AND(B138&gt;=30,B138&lt;=70,F138&gt;=7,F138&lt;=10.5,G138&lt;=1.5,I138&gt;=25,I138&lt;=45,OR(ISNUMBER(SEARCH("diabetes",D138)),ISNUMBER(SEARCH("DM",D138))),ISNUMBER(SEARCH("metformina",J138)),K138="Não",L138="Não"),"Elegível","Não elegível")</x:f>
        <x:v>Não elegível</x:v>
      </x:c>
    </x:row>
    <x:row r="139" ht="54" customHeight="1">
      <x:c r="A139" s="15" t="str">
        <x:v>PAC-138</x:v>
      </x:c>
      <x:c r="B139" s="15" t="n">
        <x:v>66</x:v>
      </x:c>
      <x:c r="C139" s="15" t="str">
        <x:v>F</x:v>
      </x:c>
      <x:c r="D139" s="15" t="str">
        <x:v>Diabetes mellitus tipo II</x:v>
      </x:c>
      <x:c r="E139" s="15" t="str">
        <x:v>Obesidade; Hipertensão arterial sistêmica</x:v>
      </x:c>
      <x:c r="F139" s="18" t="n">
        <x:v>5.9</x:v>
      </x:c>
      <x:c r="G139" s="20" t="n">
        <x:v>0.92</x:v>
      </x:c>
      <x:c r="H139" s="15" t="n">
        <x:v>140</x:v>
      </x:c>
      <x:c r="I139" s="18" t="n">
        <x:v>41</x:v>
      </x:c>
      <x:c r="J139" s="15" t="str">
        <x:v>Metformina 850 mg 2x/dia; Atorvastatina 20 mg à noite</x:v>
      </x:c>
      <x:c r="K139" s="15" t="str">
        <x:v>Não</x:v>
      </x:c>
      <x:c r="L139" s="15" t="str">
        <x:v>Não</x:v>
      </x:c>
      <x:c r="M139" s="22" t="n">
        <x:v>46243</x:v>
      </x:c>
      <x:c r="N139" s="15" t="str">
        <x:v>Reavaliação clínica de paciente com diabetes tipo 2. 66 anos, sexo F. Informa uso irregular da dieta, porém mantém as medicações. Exames recentes: HbA1c 5.9%, glicemia de jejum 140 mg/dL, creatinina 0.92 mg/dL. IMC 41.0 kg/m². Em uso de Metformina 850 mg 2x/dia; Atorvastatina 20 mg à noite. HbA1c abaixo da faixa definida para inclusão. Nega hipoglicemias sintomáticas. Orientada manutenção do seguimento e controle laboratorial.</x:v>
      </x:c>
      <x:c r="O139" s="15" t="str">
        <x:v>Não elegível</x:v>
      </x:c>
      <x:c r="P139" s="15" t="str">
        <x:v>HbA1c abaixo da faixa</x:v>
      </x:c>
      <x:c r="Q139" s="15" t="str">
        <x:f>IF(AND(B139&gt;=30,B139&lt;=70,F139&gt;=7,F139&lt;=10.5,G139&lt;=1.5,I139&gt;=25,I139&lt;=45,OR(ISNUMBER(SEARCH("diabetes",D139)),ISNUMBER(SEARCH("DM",D139))),ISNUMBER(SEARCH("metformina",J139)),K139="Não",L139="Não"),"Elegível","Não elegível")</x:f>
        <x:v>Não elegível</x:v>
      </x:c>
    </x:row>
    <x:row r="140" ht="54" customHeight="1">
      <x:c r="A140" s="15" t="str">
        <x:v>PAC-139</x:v>
      </x:c>
      <x:c r="B140" s="15" t="n">
        <x:v>79</x:v>
      </x:c>
      <x:c r="C140" s="15" t="str">
        <x:v>F</x:v>
      </x:c>
      <x:c r="D140" s="15" t="str">
        <x:v>Diabetes tipo 2</x:v>
      </x:c>
      <x:c r="E140" s="15" t="str">
        <x:v>Esteatose hepática</x:v>
      </x:c>
      <x:c r="F140" s="18" t="n">
        <x:v>9.4</x:v>
      </x:c>
      <x:c r="G140" s="20" t="n">
        <x:v>0.96</x:v>
      </x:c>
      <x:c r="H140" s="15" t="n">
        <x:v>194</x:v>
      </x:c>
      <x:c r="I140" s="18" t="n">
        <x:v>40.5</x:v>
      </x:c>
      <x:c r="J140" s="15" t="str">
        <x:v>Metformina XR 1.000 mg à noite; Levotiroxina 75 mcg/dia</x:v>
      </x:c>
      <x:c r="K140" s="15" t="str">
        <x:v>Não</x:v>
      </x:c>
      <x:c r="L140" s="15" t="str">
        <x:v>Não</x:v>
      </x:c>
      <x:c r="M140" s="22" t="n">
        <x:v>46158</x:v>
      </x:c>
      <x:c r="N140" s="15" t="str">
        <x:v>Paciente em acompanhamento ambulatorial por DM2. 79 anos, sexo F. Refere adesão parcial às medidas não farmacológicas. Exames recentes: HbA1c 9.4%, glicemia de jejum 194 mg/dL, creatinina 0.96 mg/dL. IMC 40.5 kg/m². Em uso de Metformina XR 1.000 mg à noite; Levotiroxina 75 mcg/dia. Idade acima da faixa prevista no protocolo. Clinicamente estável, sem intercorrências recentes. Programado retorno com novos exames laboratoriais.</x:v>
      </x:c>
      <x:c r="O140" s="15" t="str">
        <x:v>Não elegível</x:v>
      </x:c>
      <x:c r="P140" s="15" t="str">
        <x:v>Idade acima da faixa</x:v>
      </x:c>
      <x:c r="Q140" s="15" t="str">
        <x:f>IF(AND(B140&gt;=30,B140&lt;=70,F140&gt;=7,F140&lt;=10.5,G140&lt;=1.5,I140&gt;=25,I140&lt;=45,OR(ISNUMBER(SEARCH("diabetes",D140)),ISNUMBER(SEARCH("DM",D140))),ISNUMBER(SEARCH("metformina",J140)),K140="Não",L140="Não"),"Elegível","Não elegível")</x:f>
        <x:v>Não elegível</x:v>
      </x:c>
    </x:row>
    <x:row r="141" ht="54" customHeight="1">
      <x:c r="A141" s="15" t="str">
        <x:v>PAC-140</x:v>
      </x:c>
      <x:c r="B141" s="15" t="n">
        <x:v>38</x:v>
      </x:c>
      <x:c r="C141" s="15" t="str">
        <x:v>M</x:v>
      </x:c>
      <x:c r="D141" s="15" t="str">
        <x:v>Diabetes tipo 2</x:v>
      </x:c>
      <x:c r="E141" s="15" t="str">
        <x:v>Esteatose hepática</x:v>
      </x:c>
      <x:c r="F141" s="18" t="n">
        <x:v>8.9</x:v>
      </x:c>
      <x:c r="G141" s="20" t="n">
        <x:v>2.24</x:v>
      </x:c>
      <x:c r="H141" s="15" t="n">
        <x:v>180</x:v>
      </x:c>
      <x:c r="I141" s="18" t="n">
        <x:v>38.5</x:v>
      </x:c>
      <x:c r="J141" s="15" t="str">
        <x:v>Metformina 850 mg 2x/dia</x:v>
      </x:c>
      <x:c r="K141" s="15" t="str">
        <x:v>Não</x:v>
      </x:c>
      <x:c r="L141" s="15" t="str">
        <x:v>Não</x:v>
      </x:c>
      <x:c r="M141" s="22" t="n">
        <x:v>46169</x:v>
      </x:c>
      <x:c r="N141" s="15" t="str">
        <x:v>Em consulta de rotina para controle metabólico. 38 anos, sexo M. Refere uso regular das medicações. Exames recentes: HbA1c 8.9%, glicemia de jejum 180 mg/dL, creatinina 2.24 mg/dL. IMC 38.5 kg/m². Em uso de Metformina 850 mg 2x/dia. Função renal acima do limite previsto no protocolo. Nega poliúria, polidipsia ou perda ponderal recente. Orientada manutenção do seguimento e controle laboratorial.</x:v>
      </x:c>
      <x:c r="O141" s="15" t="str">
        <x:v>Não elegível</x:v>
      </x:c>
      <x:c r="P141" s="15" t="str">
        <x:v>Creatinina acima do limite</x:v>
      </x:c>
      <x:c r="Q141" s="15" t="str">
        <x:f>IF(AND(B141&gt;=30,B141&lt;=70,F141&gt;=7,F141&lt;=10.5,G141&lt;=1.5,I141&gt;=25,I141&lt;=45,OR(ISNUMBER(SEARCH("diabetes",D141)),ISNUMBER(SEARCH("DM",D141))),ISNUMBER(SEARCH("metformina",J141)),K141="Não",L141="Não"),"Elegível","Não elegível")</x:f>
        <x:v>Não elegível</x:v>
      </x:c>
    </x:row>
    <x:row r="142" ht="54" customHeight="1">
      <x:c r="A142" s="15" t="str">
        <x:v>PAC-141</x:v>
      </x:c>
      <x:c r="B142" s="15" t="n">
        <x:v>56</x:v>
      </x:c>
      <x:c r="C142" s="15" t="str">
        <x:v>M</x:v>
      </x:c>
      <x:c r="D142" s="15" t="str">
        <x:v>DM tipo II</x:v>
      </x:c>
      <x:c r="E142" s="15" t="str">
        <x:v>Obesidade</x:v>
      </x:c>
      <x:c r="F142" s="18" t="n">
        <x:v>7.6</x:v>
      </x:c>
      <x:c r="G142" s="20" t="n">
        <x:v>0.67</x:v>
      </x:c>
      <x:c r="H142" s="15" t="n">
        <x:v>151</x:v>
      </x:c>
      <x:c r="I142" s="18" t="n">
        <x:v>39.4</x:v>
      </x:c>
      <x:c r="J142" s="15" t="str">
        <x:v>Metformina XR 500 mg 2x/dia; Losartana 50 mg/dia; Atorvastatina 20 mg/noite</x:v>
      </x:c>
      <x:c r="K142" s="15" t="str">
        <x:v>Sim</x:v>
      </x:c>
      <x:c r="L142" s="15" t="str">
        <x:v>Não</x:v>
      </x:c>
      <x:c r="M142" s="22" t="n">
        <x:v>46055</x:v>
      </x:c>
      <x:c r="N142" s="15" t="str">
        <x:v>Retorna para seguimento de diabetes mellitus tipo 2. 56 anos, sexo M. Refere uso regular das medicações. Exames recentes: HbA1c 7.6%, glicemia de jejum 151 mg/dL, creatinina 0.67 mg/dL. IMC 39.4 kg/m². Em uso de Metformina XR 500 mg 2x/dia; Losartana 50 mg/dia; Atorvastatina 20 mg/noite. Há registro de neoplasia em atividade. Em acompanhamento oncológico por doença ativa. Sem sintomas sugestivos de descompensação aguda. Reforçadas orientações dietéticas e de atividade física.</x:v>
      </x:c>
      <x:c r="O142" s="15" t="str">
        <x:v>Não elegível</x:v>
      </x:c>
      <x:c r="P142" s="15" t="str">
        <x:v>Neoplasia ativa</x:v>
      </x:c>
      <x:c r="Q142" s="15" t="str">
        <x:f>IF(AND(B142&gt;=30,B142&lt;=70,F142&gt;=7,F142&lt;=10.5,G142&lt;=1.5,I142&gt;=25,I142&lt;=45,OR(ISNUMBER(SEARCH("diabetes",D142)),ISNUMBER(SEARCH("DM",D142))),ISNUMBER(SEARCH("metformina",J142)),K142="Não",L142="Não"),"Elegível","Não elegível")</x:f>
        <x:v>Não elegível</x:v>
      </x:c>
    </x:row>
    <x:row r="143" ht="54" customHeight="1">
      <x:c r="A143" s="15" t="str">
        <x:v>PAC-142</x:v>
      </x:c>
      <x:c r="B143" s="15" t="n">
        <x:v>39</x:v>
      </x:c>
      <x:c r="C143" s="15" t="str">
        <x:v>F</x:v>
      </x:c>
      <x:c r="D143" s="15" t="str">
        <x:v>DM2</x:v>
      </x:c>
      <x:c r="E143" s="15" t="str">
        <x:v>Dislipidemia</x:v>
      </x:c>
      <x:c r="F143" s="18" t="n">
        <x:v>8.9</x:v>
      </x:c>
      <x:c r="G143" s="20" t="n">
        <x:v>1.13</x:v>
      </x:c>
      <x:c r="H143" s="15" t="n">
        <x:v>188</x:v>
      </x:c>
      <x:c r="I143" s="18" t="n">
        <x:v>40.9</x:v>
      </x:c>
      <x:c r="J143" s="15" t="str">
        <x:v>Metformina 500 mg 2x/dia</x:v>
      </x:c>
      <x:c r="K143" s="15" t="str">
        <x:v>Não</x:v>
      </x:c>
      <x:c r="L143" s="15" t="str">
        <x:v>Sim</x:v>
      </x:c>
      <x:c r="M143" s="22" t="n">
        <x:v>46091</x:v>
      </x:c>
      <x:c r="N143" s="15" t="str">
        <x:v>Em consulta de rotina para controle metabólico. 39 anos, sexo F. Relata boa adesão ao tratamento prescrito. Exames recentes: HbA1c 8.9%, glicemia de jejum 188 mg/dL, creatinina 1.13 mg/dL. IMC 40.9 kg/m². Em uso de Metformina 500 mg 2x/dia. Gestação atual registrada em prontuário. Gestação confirmada no atendimento atual. Nega hipoglicemias sintomáticas. Mantido acompanhamento e reforçadas medidas de estilo de vida.</x:v>
      </x:c>
      <x:c r="O143" s="15" t="str">
        <x:v>Não elegível</x:v>
      </x:c>
      <x:c r="P143" s="15" t="str">
        <x:v>Gestação</x:v>
      </x:c>
      <x:c r="Q143" s="15" t="str">
        <x:f>IF(AND(B143&gt;=30,B143&lt;=70,F143&gt;=7,F143&lt;=10.5,G143&lt;=1.5,I143&gt;=25,I143&lt;=45,OR(ISNUMBER(SEARCH("diabetes",D143)),ISNUMBER(SEARCH("DM",D143))),ISNUMBER(SEARCH("metformina",J143)),K143="Não",L143="Não"),"Elegível","Não elegível")</x:f>
        <x:v>Não elegível</x:v>
      </x:c>
    </x:row>
    <x:row r="144" ht="54" customHeight="1">
      <x:c r="A144" s="15" t="str">
        <x:v>PAC-143</x:v>
      </x:c>
      <x:c r="B144" s="15" t="n">
        <x:v>21</x:v>
      </x:c>
      <x:c r="C144" s="15" t="str">
        <x:v>F</x:v>
      </x:c>
      <x:c r="D144" s="15" t="str">
        <x:v>DM2</x:v>
      </x:c>
      <x:c r="E144" s="15" t="str">
        <x:v>Osteoartrite de joelhos</x:v>
      </x:c>
      <x:c r="F144" s="18" t="n">
        <x:v>7.9</x:v>
      </x:c>
      <x:c r="G144" s="20" t="n">
        <x:v>0.92</x:v>
      </x:c>
      <x:c r="H144" s="15" t="n">
        <x:v>172</x:v>
      </x:c>
      <x:c r="I144" s="18" t="n">
        <x:v>28.6</x:v>
      </x:c>
      <x:c r="J144" s="15" t="str">
        <x:v>Metformina XR 1.000 mg à noite; Sinvastatina 20 mg à noite</x:v>
      </x:c>
      <x:c r="K144" s="15" t="str">
        <x:v>Não</x:v>
      </x:c>
      <x:c r="L144" s="15" t="str">
        <x:v>Não</x:v>
      </x:c>
      <x:c r="M144" s="22" t="n">
        <x:v>46085</x:v>
      </x:c>
      <x:c r="N144" s="15" t="str">
        <x:v>Paciente em acompanhamento ambulatorial por DM2. 21 anos, sexo F. Refere uso regular das medicações. Exames recentes: HbA1c 7.9%, glicemia de jejum 172 mg/dL, creatinina 0.92 mg/dL. IMC 28.6 kg/m². Em uso de Metformina XR 1.000 mg à noite; Sinvastatina 20 mg à noite. Idade fora da faixa prevista no protocolo. Clinicamente estável, sem intercorrências recentes. Programado retorno com novos exames laboratoriais.</x:v>
      </x:c>
      <x:c r="O144" s="15" t="str">
        <x:v>Não elegível</x:v>
      </x:c>
      <x:c r="P144" s="15" t="str">
        <x:v>Idade abaixo da faixa</x:v>
      </x:c>
      <x:c r="Q144" s="15" t="str">
        <x:f>IF(AND(B144&gt;=30,B144&lt;=70,F144&gt;=7,F144&lt;=10.5,G144&lt;=1.5,I144&gt;=25,I144&lt;=45,OR(ISNUMBER(SEARCH("diabetes",D144)),ISNUMBER(SEARCH("DM",D144))),ISNUMBER(SEARCH("metformina",J144)),K144="Não",L144="Não"),"Elegível","Não elegível")</x:f>
        <x:v>Não elegível</x:v>
      </x:c>
    </x:row>
    <x:row r="145" ht="54" customHeight="1">
      <x:c r="A145" s="15" t="str">
        <x:v>PAC-144</x:v>
      </x:c>
      <x:c r="B145" s="15" t="n">
        <x:v>58</x:v>
      </x:c>
      <x:c r="C145" s="15" t="str">
        <x:v>F</x:v>
      </x:c>
      <x:c r="D145" s="15" t="str">
        <x:v>Diabetes mellitus tipo 2</x:v>
      </x:c>
      <x:c r="E145" s="15" t="str">
        <x:v>Hipertensão arterial sistêmica</x:v>
      </x:c>
      <x:c r="F145" s="18" t="n">
        <x:v>9.8</x:v>
      </x:c>
      <x:c r="G145" s="20" t="n">
        <x:v>0.79</x:v>
      </x:c>
      <x:c r="H145" s="15" t="n">
        <x:v>183</x:v>
      </x:c>
      <x:c r="I145" s="18" t="n">
        <x:v>48.2</x:v>
      </x:c>
      <x:c r="J145" s="15" t="str">
        <x:v>Metformina 1.000 mg 2x/dia; Atorvastatina 20 mg à noite</x:v>
      </x:c>
      <x:c r="K145" s="15" t="str">
        <x:v>Não</x:v>
      </x:c>
      <x:c r="L145" s="15" t="str">
        <x:v>Não</x:v>
      </x:c>
      <x:c r="M145" s="22" t="n">
        <x:v>46102</x:v>
      </x:c>
      <x:c r="N145" s="15" t="str">
        <x:v>Em consulta de rotina para controle metabólico. 58 anos, sexo F. Nega interrupção recente das medicações. Exames recentes: HbA1c 9.8%, glicemia de jejum 183 mg/dL, creatinina 0.79 mg/dL. IMC 48.2 kg/m². Em uso de Metformina 1.000 mg 2x/dia; Atorvastatina 20 mg à noite. IMC acima do limite de inclusão. Sem sintomas sugestivos de descompensação aguda. Mantido acompanhamento e reforçadas medidas de estilo de vida.</x:v>
      </x:c>
      <x:c r="O145" s="15" t="str">
        <x:v>Não elegível</x:v>
      </x:c>
      <x:c r="P145" s="15" t="str">
        <x:v>IMC acima da faixa</x:v>
      </x:c>
      <x:c r="Q145" s="15" t="str">
        <x:f>IF(AND(B145&gt;=30,B145&lt;=70,F145&gt;=7,F145&lt;=10.5,G145&lt;=1.5,I145&gt;=25,I145&lt;=45,OR(ISNUMBER(SEARCH("diabetes",D145)),ISNUMBER(SEARCH("DM",D145))),ISNUMBER(SEARCH("metformina",J145)),K145="Não",L145="Não"),"Elegível","Não elegível")</x:f>
        <x:v>Não elegível</x:v>
      </x:c>
    </x:row>
    <x:row r="146" ht="54" customHeight="1">
      <x:c r="A146" s="15" t="str">
        <x:v>PAC-145</x:v>
      </x:c>
      <x:c r="B146" s="15" t="n">
        <x:v>55</x:v>
      </x:c>
      <x:c r="C146" s="15" t="str">
        <x:v>F</x:v>
      </x:c>
      <x:c r="D146" s="15" t="str">
        <x:v>Diabetes mellitus tipo II</x:v>
      </x:c>
      <x:c r="E146" s="15" t="str">
        <x:v>Dislipidemia</x:v>
      </x:c>
      <x:c r="F146" s="18" t="n">
        <x:v>11.9</x:v>
      </x:c>
      <x:c r="G146" s="20" t="n">
        <x:v>1.17</x:v>
      </x:c>
      <x:c r="H146" s="15" t="n">
        <x:v>214</x:v>
      </x:c>
      <x:c r="I146" s="18" t="n">
        <x:v>31.5</x:v>
      </x:c>
      <x:c r="J146" s="15" t="str">
        <x:v>Metformina 500 mg 2x/dia; Sinvastatina 20 mg à noite</x:v>
      </x:c>
      <x:c r="K146" s="15" t="str">
        <x:v>Não</x:v>
      </x:c>
      <x:c r="L146" s="15" t="str">
        <x:v>Não</x:v>
      </x:c>
      <x:c r="M146" s="22" t="n">
        <x:v>46102</x:v>
      </x:c>
      <x:c r="N146" s="15" t="str">
        <x:v>Retorna para seguimento de diabetes mellitus tipo 2. 55 anos, sexo F. Refere uso regular das medicações. Exames recentes: HbA1c 11.9%, glicemia de jejum 214 mg/dL, creatinina 1.17 mg/dL. IMC 31.5 kg/m². Em uso de Metformina 500 mg 2x/dia; Sinvastatina 20 mg à noite. HbA1c acima da faixa definida para inclusão. Clinicamente estável, sem intercorrências recentes. Orientada manutenção do seguimento e controle laboratorial.</x:v>
      </x:c>
      <x:c r="O146" s="15" t="str">
        <x:v>Não elegível</x:v>
      </x:c>
      <x:c r="P146" s="15" t="str">
        <x:v>HbA1c acima da faixa</x:v>
      </x:c>
      <x:c r="Q146" s="15" t="str">
        <x:f>IF(AND(B146&gt;=30,B146&lt;=70,F146&gt;=7,F146&lt;=10.5,G146&lt;=1.5,I146&gt;=25,I146&lt;=45,OR(ISNUMBER(SEARCH("diabetes",D146)),ISNUMBER(SEARCH("DM",D146))),ISNUMBER(SEARCH("metformina",J146)),K146="Não",L146="Não"),"Elegível","Não elegível")</x:f>
        <x:v>Não elegível</x:v>
      </x:c>
    </x:row>
    <x:row r="147" ht="54" customHeight="1">
      <x:c r="A147" s="15" t="str">
        <x:v>PAC-146</x:v>
      </x:c>
      <x:c r="B147" s="15" t="n">
        <x:v>65</x:v>
      </x:c>
      <x:c r="C147" s="15" t="str">
        <x:v>M</x:v>
      </x:c>
      <x:c r="D147" s="15" t="str">
        <x:v>Diabetes mellitus tipo II</x:v>
      </x:c>
      <x:c r="E147" s="15" t="str">
        <x:v>Doença do refluxo gastroesofágico</x:v>
      </x:c>
      <x:c r="F147" s="18" t="n">
        <x:v>6.3</x:v>
      </x:c>
      <x:c r="G147" s="20" t="n">
        <x:v>1.04</x:v>
      </x:c>
      <x:c r="H147" s="15" t="n">
        <x:v>150</x:v>
      </x:c>
      <x:c r="I147" s="18" t="n">
        <x:v>32.6</x:v>
      </x:c>
      <x:c r="J147" s="15" t="str">
        <x:v>Metformina XR 1.000 mg à noite</x:v>
      </x:c>
      <x:c r="K147" s="15" t="str">
        <x:v>Não</x:v>
      </x:c>
      <x:c r="L147" s="15" t="str">
        <x:v>Não</x:v>
      </x:c>
      <x:c r="M147" s="22" t="n">
        <x:v>46059</x:v>
      </x:c>
      <x:c r="N147" s="15" t="str">
        <x:v>Retorna para seguimento de diabetes mellitus tipo 2. 65 anos, sexo M. Refere adesão parcial às medidas não farmacológicas. Exames recentes: HbA1c 6.3%, glicemia de jejum 150 mg/dL, creatinina 1.04 mg/dL. IMC 32.6 kg/m². Em uso de Metformina XR 1.000 mg à noite. HbA1c abaixo da faixa definida para inclusão. Nega hipoglicemias sintomáticas. Reforçadas orientações dietéticas e de atividade física.</x:v>
      </x:c>
      <x:c r="O147" s="15" t="str">
        <x:v>Não elegível</x:v>
      </x:c>
      <x:c r="P147" s="15" t="str">
        <x:v>HbA1c abaixo da faixa</x:v>
      </x:c>
      <x:c r="Q147" s="15" t="str">
        <x:f>IF(AND(B147&gt;=30,B147&lt;=70,F147&gt;=7,F147&lt;=10.5,G147&lt;=1.5,I147&gt;=25,I147&lt;=45,OR(ISNUMBER(SEARCH("diabetes",D147)),ISNUMBER(SEARCH("DM",D147))),ISNUMBER(SEARCH("metformina",J147)),K147="Não",L147="Não"),"Elegível","Não elegível")</x:f>
        <x:v>Não elegível</x:v>
      </x:c>
    </x:row>
    <x:row r="148" ht="54" customHeight="1">
      <x:c r="A148" s="15" t="str">
        <x:v>PAC-147</x:v>
      </x:c>
      <x:c r="B148" s="15" t="n">
        <x:v>45</x:v>
      </x:c>
      <x:c r="C148" s="15" t="str">
        <x:v>M</x:v>
      </x:c>
      <x:c r="D148" s="15" t="str">
        <x:v>DM tipo II</x:v>
      </x:c>
      <x:c r="E148" s="15" t="str">
        <x:v>Esteatose hepática</x:v>
      </x:c>
      <x:c r="F148" s="18" t="n">
        <x:v>12.3</x:v>
      </x:c>
      <x:c r="G148" s="20" t="n">
        <x:v>0.99</x:v>
      </x:c>
      <x:c r="H148" s="15" t="n">
        <x:v>205</x:v>
      </x:c>
      <x:c r="I148" s="18" t="n">
        <x:v>34.7</x:v>
      </x:c>
      <x:c r="J148" s="15" t="str">
        <x:v>Metformina 850 mg manhã e noite; Atorvastatina 20 mg à noite</x:v>
      </x:c>
      <x:c r="K148" s="15" t="str">
        <x:v>Não</x:v>
      </x:c>
      <x:c r="L148" s="15" t="str">
        <x:v>Não</x:v>
      </x:c>
      <x:c r="M148" s="22" t="n">
        <x:v>46189</x:v>
      </x:c>
      <x:c r="N148" s="15" t="str">
        <x:v>Paciente com diagnóstico prévio de DM2, em seguimento regular. 45 anos, sexo M. Nega interrupção recente das medicações. Exames recentes: HbA1c 12.3%, glicemia de jejum 205 mg/dL, creatinina 0.99 mg/dL. IMC 34.7 kg/m². Em uso de Metformina 850 mg manhã e noite; Atorvastatina 20 mg à noite. HbA1c acima da faixa definida para inclusão. Sem sintomas sugestivos de descompensação aguda. Orientada manutenção do seguimento e controle laboratorial.</x:v>
      </x:c>
      <x:c r="O148" s="15" t="str">
        <x:v>Não elegível</x:v>
      </x:c>
      <x:c r="P148" s="15" t="str">
        <x:v>HbA1c acima da faixa</x:v>
      </x:c>
      <x:c r="Q148" s="15" t="str">
        <x:f>IF(AND(B148&gt;=30,B148&lt;=70,F148&gt;=7,F148&lt;=10.5,G148&lt;=1.5,I148&gt;=25,I148&lt;=45,OR(ISNUMBER(SEARCH("diabetes",D148)),ISNUMBER(SEARCH("DM",D148))),ISNUMBER(SEARCH("metformina",J148)),K148="Não",L148="Não"),"Elegível","Não elegível")</x:f>
        <x:v>Não elegível</x:v>
      </x:c>
    </x:row>
    <x:row r="149" ht="54" customHeight="1">
      <x:c r="A149" s="15" t="str">
        <x:v>PAC-148</x:v>
      </x:c>
      <x:c r="B149" s="15" t="n">
        <x:v>26</x:v>
      </x:c>
      <x:c r="C149" s="15" t="str">
        <x:v>M</x:v>
      </x:c>
      <x:c r="D149" s="15" t="str">
        <x:v>DM2</x:v>
      </x:c>
      <x:c r="E149" s="15" t="str">
        <x:v>Dislipidemia</x:v>
      </x:c>
      <x:c r="F149" s="18" t="n">
        <x:v>7.9</x:v>
      </x:c>
      <x:c r="G149" s="20" t="n">
        <x:v>1.01</x:v>
      </x:c>
      <x:c r="H149" s="15" t="n">
        <x:v>157</x:v>
      </x:c>
      <x:c r="I149" s="18" t="n">
        <x:v>30.2</x:v>
      </x:c>
      <x:c r="J149" s="15" t="str">
        <x:v>Metformina 1.000 mg 2x/dia</x:v>
      </x:c>
      <x:c r="K149" s="15" t="str">
        <x:v>Não</x:v>
      </x:c>
      <x:c r="L149" s="15" t="str">
        <x:v>Não</x:v>
      </x:c>
      <x:c r="M149" s="22" t="n">
        <x:v>46168</x:v>
      </x:c>
      <x:c r="N149" s="15" t="str">
        <x:v>Reavaliação clínica de paciente com diabetes tipo 2. 26 anos, sexo M. Nega interrupção recente das medicações. Exames recentes: HbA1c 7.9%, glicemia de jejum 157 mg/dL, creatinina 1.01 mg/dL. IMC 30.2 kg/m². Em uso de Metformina 1.000 mg 2x/dia. Idade fora da faixa prevista no protocolo. Nega hipoglicemias sintomáticas. Reforçadas orientações dietéticas e de atividade física.</x:v>
      </x:c>
      <x:c r="O149" s="15" t="str">
        <x:v>Não elegível</x:v>
      </x:c>
      <x:c r="P149" s="15" t="str">
        <x:v>Idade abaixo da faixa</x:v>
      </x:c>
      <x:c r="Q149" s="15" t="str">
        <x:f>IF(AND(B149&gt;=30,B149&lt;=70,F149&gt;=7,F149&lt;=10.5,G149&lt;=1.5,I149&gt;=25,I149&lt;=45,OR(ISNUMBER(SEARCH("diabetes",D149)),ISNUMBER(SEARCH("DM",D149))),ISNUMBER(SEARCH("metformina",J149)),K149="Não",L149="Não"),"Elegível","Não elegível")</x:f>
        <x:v>Não elegível</x:v>
      </x:c>
    </x:row>
    <x:row r="150" ht="54" customHeight="1">
      <x:c r="A150" s="15" t="str">
        <x:v>PAC-149</x:v>
      </x:c>
      <x:c r="B150" s="15" t="n">
        <x:v>63</x:v>
      </x:c>
      <x:c r="C150" s="15" t="str">
        <x:v>M</x:v>
      </x:c>
      <x:c r="D150" s="15" t="str">
        <x:v>DM tipo II</x:v>
      </x:c>
      <x:c r="E150" s="15" t="str">
        <x:v>Dislipidemia</x:v>
      </x:c>
      <x:c r="F150" s="18" t="n">
        <x:v>9</x:v>
      </x:c>
      <x:c r="G150" s="20" t="n">
        <x:v>1.71</x:v>
      </x:c>
      <x:c r="H150" s="15" t="n">
        <x:v>161</x:v>
      </x:c>
      <x:c r="I150" s="18" t="n">
        <x:v>34.5</x:v>
      </x:c>
      <x:c r="J150" s="15" t="str">
        <x:v>Metformina XR 1.000 mg à noite; Losartana 50 mg/dia; Atorvastatina 20 mg/noite</x:v>
      </x:c>
      <x:c r="K150" s="15" t="str">
        <x:v>Não</x:v>
      </x:c>
      <x:c r="L150" s="15" t="str">
        <x:v>Não</x:v>
      </x:c>
      <x:c r="M150" s="22" t="n">
        <x:v>46135</x:v>
      </x:c>
      <x:c r="N150" s="15" t="str">
        <x:v>Reavaliação clínica de paciente com diabetes tipo 2. 63 anos, sexo M. Nega interrupção recente das medicações. Exames recentes: HbA1c 9.0%, glicemia de jejum 161 mg/dL, creatinina 1.71 mg/dL. IMC 34.5 kg/m². Em uso de Metformina XR 1.000 mg à noite; Losartana 50 mg/dia; Atorvastatina 20 mg/noite. Função renal acima do limite previsto no protocolo. Nega hipoglicemias sintomáticas. Orientada manutenção do seguimento e controle laboratorial.</x:v>
      </x:c>
      <x:c r="O150" s="15" t="str">
        <x:v>Não elegível</x:v>
      </x:c>
      <x:c r="P150" s="15" t="str">
        <x:v>Creatinina acima do limite</x:v>
      </x:c>
      <x:c r="Q150" s="15" t="str">
        <x:f>IF(AND(B150&gt;=30,B150&lt;=70,F150&gt;=7,F150&lt;=10.5,G150&lt;=1.5,I150&gt;=25,I150&lt;=45,OR(ISNUMBER(SEARCH("diabetes",D150)),ISNUMBER(SEARCH("DM",D150))),ISNUMBER(SEARCH("metformina",J150)),K150="Não",L150="Não"),"Elegível","Não elegível")</x:f>
        <x:v>Não elegível</x:v>
      </x:c>
    </x:row>
    <x:row r="151" ht="54" customHeight="1">
      <x:c r="A151" s="15" t="str">
        <x:v>PAC-150</x:v>
      </x:c>
      <x:c r="B151" s="15" t="n">
        <x:v>47</x:v>
      </x:c>
      <x:c r="C151" s="15" t="str">
        <x:v>M</x:v>
      </x:c>
      <x:c r="D151" s="15" t="str">
        <x:v>Diabetes tipo 2</x:v>
      </x:c>
      <x:c r="E151" s="15" t="str">
        <x:v>Hipertensão arterial sistêmica; Dislipidemia</x:v>
      </x:c>
      <x:c r="F151" s="18" t="n">
        <x:v>11.6</x:v>
      </x:c>
      <x:c r="G151" s="20" t="n">
        <x:v>1.25</x:v>
      </x:c>
      <x:c r="H151" s="15" t="n">
        <x:v>192</x:v>
      </x:c>
      <x:c r="I151" s="18" t="n">
        <x:v>26.3</x:v>
      </x:c>
      <x:c r="J151" s="15" t="str">
        <x:v>Metformina 850 mg 2x/dia; Amlodipino 5 mg/dia</x:v>
      </x:c>
      <x:c r="K151" s="15" t="str">
        <x:v>Não</x:v>
      </x:c>
      <x:c r="L151" s="15" t="str">
        <x:v>Não</x:v>
      </x:c>
      <x:c r="M151" s="22" t="n">
        <x:v>46170</x:v>
      </x:c>
      <x:c r="N151" s="15" t="str">
        <x:v>Retorna para seguimento de diabetes mellitus tipo 2. 47 anos, sexo M. Nega interrupção recente das medicações. Exames recentes: HbA1c 11.6%, glicemia de jejum 192 mg/dL, creatinina 1.25 mg/dL. IMC 26.3 kg/m². Em uso de Metformina 850 mg 2x/dia; Amlodipino 5 mg/dia. HbA1c acima da faixa definida para inclusão. Nega hipoglicemias sintomáticas. Mantida terapêutica atual até reavaliação.</x:v>
      </x:c>
      <x:c r="O151" s="15" t="str">
        <x:v>Não elegível</x:v>
      </x:c>
      <x:c r="P151" s="15" t="str">
        <x:v>HbA1c acima da faixa</x:v>
      </x:c>
      <x:c r="Q151" s="15" t="str">
        <x:f>IF(AND(B151&gt;=30,B151&lt;=70,F151&gt;=7,F151&lt;=10.5,G151&lt;=1.5,I151&gt;=25,I151&lt;=45,OR(ISNUMBER(SEARCH("diabetes",D151)),ISNUMBER(SEARCH("DM",D151))),ISNUMBER(SEARCH("metformina",J151)),K151="Não",L151="Não"),"Elegível","Não elegível")</x:f>
        <x:v>Não elegível</x:v>
      </x:c>
    </x:row>
    <x:row r="152" ht="54" customHeight="1">
      <x:c r="A152" s="15" t="str">
        <x:v>PAC-151</x:v>
      </x:c>
      <x:c r="B152" s="15" t="n">
        <x:v>28</x:v>
      </x:c>
      <x:c r="C152" s="15" t="str">
        <x:v>M</x:v>
      </x:c>
      <x:c r="D152" s="15" t="str">
        <x:v>Diabetes mellitus tipo 2</x:v>
      </x:c>
      <x:c r="E152" s="15" t="str">
        <x:v>Hipertensão arterial sistêmica; Dislipidemia</x:v>
      </x:c>
      <x:c r="F152" s="18" t="n">
        <x:v>7.7</x:v>
      </x:c>
      <x:c r="G152" s="20" t="n">
        <x:v>0.91</x:v>
      </x:c>
      <x:c r="H152" s="15" t="n">
        <x:v>162</x:v>
      </x:c>
      <x:c r="I152" s="18" t="n">
        <x:v>36.7</x:v>
      </x:c>
      <x:c r="J152" s="15" t="str">
        <x:v>Metformina 850 mg manhã e noite; Amlodipino 5 mg/dia</x:v>
      </x:c>
      <x:c r="K152" s="15" t="str">
        <x:v>Não</x:v>
      </x:c>
      <x:c r="L152" s="15" t="str">
        <x:v>Não</x:v>
      </x:c>
      <x:c r="M152" s="22" t="n">
        <x:v>46222</x:v>
      </x:c>
      <x:c r="N152" s="15" t="str">
        <x:v>Retorna para seguimento de diabetes mellitus tipo 2. 28 anos, sexo M. Nega interrupção recente das medicações. Exames recentes: HbA1c 7.7%, glicemia de jejum 162 mg/dL, creatinina 0.91 mg/dL. IMC 36.7 kg/m². Em uso de Metformina 850 mg manhã e noite; Amlodipino 5 mg/dia. Idade fora da faixa prevista no protocolo. Nega hipoglicemias sintomáticas. Programado retorno com novos exames laboratoriais.</x:v>
      </x:c>
      <x:c r="O152" s="15" t="str">
        <x:v>Não elegível</x:v>
      </x:c>
      <x:c r="P152" s="15" t="str">
        <x:v>Idade abaixo da faixa</x:v>
      </x:c>
      <x:c r="Q152" s="15" t="str">
        <x:f>IF(AND(B152&gt;=30,B152&lt;=70,F152&gt;=7,F152&lt;=10.5,G152&lt;=1.5,I152&gt;=25,I152&lt;=45,OR(ISNUMBER(SEARCH("diabetes",D152)),ISNUMBER(SEARCH("DM",D152))),ISNUMBER(SEARCH("metformina",J152)),K152="Não",L152="Não"),"Elegível","Não elegível")</x:f>
        <x:v>Não elegível</x:v>
      </x:c>
    </x:row>
    <x:row r="153" ht="54" customHeight="1">
      <x:c r="A153" s="15" t="str">
        <x:v>PAC-152</x:v>
      </x:c>
      <x:c r="B153" s="15" t="n">
        <x:v>38</x:v>
      </x:c>
      <x:c r="C153" s="15" t="str">
        <x:v>F</x:v>
      </x:c>
      <x:c r="D153" s="15" t="str">
        <x:v>Diabetes tipo 2</x:v>
      </x:c>
      <x:c r="E153" s="15" t="str">
        <x:v>Sem comorbidades relevantes</x:v>
      </x:c>
      <x:c r="F153" s="18" t="n">
        <x:v>10.7</x:v>
      </x:c>
      <x:c r="G153" s="20" t="n">
        <x:v>0.73</x:v>
      </x:c>
      <x:c r="H153" s="15" t="n">
        <x:v>179</x:v>
      </x:c>
      <x:c r="I153" s="18" t="n">
        <x:v>35.7</x:v>
      </x:c>
      <x:c r="J153" s="15" t="str">
        <x:v>Metformina XR 500 mg 2x/dia; Sinvastatina 20 mg à noite</x:v>
      </x:c>
      <x:c r="K153" s="15" t="str">
        <x:v>Não</x:v>
      </x:c>
      <x:c r="L153" s="15" t="str">
        <x:v>Não</x:v>
      </x:c>
      <x:c r="M153" s="22" t="n">
        <x:v>46062</x:v>
      </x:c>
      <x:c r="N153" s="15" t="str">
        <x:v>Reavaliação clínica de paciente com diabetes tipo 2. 38 anos, sexo F. Refere adesão parcial às medidas não farmacológicas. Exames recentes: HbA1c 10.7%, glicemia de jejum 179 mg/dL, creatinina 0.73 mg/dL. IMC 35.7 kg/m². Em uso de Metformina XR 500 mg 2x/dia; Sinvastatina 20 mg à noite. HbA1c acima da faixa definida para inclusão. Nega hipoglicemias sintomáticas. Reforçadas orientações dietéticas e de atividade física.</x:v>
      </x:c>
      <x:c r="O153" s="15" t="str">
        <x:v>Não elegível</x:v>
      </x:c>
      <x:c r="P153" s="15" t="str">
        <x:v>HbA1c acima da faixa</x:v>
      </x:c>
      <x:c r="Q153" s="15" t="str">
        <x:f>IF(AND(B153&gt;=30,B153&lt;=70,F153&gt;=7,F153&lt;=10.5,G153&lt;=1.5,I153&gt;=25,I153&lt;=45,OR(ISNUMBER(SEARCH("diabetes",D153)),ISNUMBER(SEARCH("DM",D153))),ISNUMBER(SEARCH("metformina",J153)),K153="Não",L153="Não"),"Elegível","Não elegível")</x:f>
        <x:v>Não elegível</x:v>
      </x:c>
    </x:row>
    <x:row r="154" ht="54" customHeight="1">
      <x:c r="A154" s="15" t="str">
        <x:v>PAC-153</x:v>
      </x:c>
      <x:c r="B154" s="15" t="n">
        <x:v>46</x:v>
      </x:c>
      <x:c r="C154" s="15" t="str">
        <x:v>M</x:v>
      </x:c>
      <x:c r="D154" s="15" t="str">
        <x:v>Diabetes tipo 2</x:v>
      </x:c>
      <x:c r="E154" s="15" t="str">
        <x:v>Doença do refluxo gastroesofágico</x:v>
      </x:c>
      <x:c r="F154" s="18" t="n">
        <x:v>9.3</x:v>
      </x:c>
      <x:c r="G154" s="20" t="n">
        <x:v>1.08</x:v>
      </x:c>
      <x:c r="H154" s="15" t="n">
        <x:v>172</x:v>
      </x:c>
      <x:c r="I154" s="18" t="n">
        <x:v>46.6</x:v>
      </x:c>
      <x:c r="J154" s="15" t="str">
        <x:v>Metformina 1.000 mg 2x/dia; Losartana 50 mg 2x/dia</x:v>
      </x:c>
      <x:c r="K154" s="15" t="str">
        <x:v>Não</x:v>
      </x:c>
      <x:c r="L154" s="15" t="str">
        <x:v>Não</x:v>
      </x:c>
      <x:c r="M154" s="22" t="n">
        <x:v>46123</x:v>
      </x:c>
      <x:c r="N154" s="15" t="str">
        <x:v>Paciente com diagnóstico prévio de DM2, em seguimento regular. 46 anos, sexo M. Informa uso irregular da dieta, porém mantém as medicações. Exames recentes: HbA1c 9.3%, glicemia de jejum 172 mg/dL, creatinina 1.08 mg/dL. IMC 46.6 kg/m². Em uso de Metformina 1.000 mg 2x/dia; Losartana 50 mg 2x/dia. IMC acima do limite de inclusão. Nega hipoglicemias sintomáticas. Orientada manutenção do seguimento e controle laboratorial.</x:v>
      </x:c>
      <x:c r="O154" s="15" t="str">
        <x:v>Não elegível</x:v>
      </x:c>
      <x:c r="P154" s="15" t="str">
        <x:v>IMC acima da faixa</x:v>
      </x:c>
      <x:c r="Q154" s="15" t="str">
        <x:f>IF(AND(B154&gt;=30,B154&lt;=70,F154&gt;=7,F154&lt;=10.5,G154&lt;=1.5,I154&gt;=25,I154&lt;=45,OR(ISNUMBER(SEARCH("diabetes",D154)),ISNUMBER(SEARCH("DM",D154))),ISNUMBER(SEARCH("metformina",J154)),K154="Não",L154="Não"),"Elegível","Não elegível")</x:f>
        <x:v>Não elegível</x:v>
      </x:c>
    </x:row>
    <x:row r="155" ht="54" customHeight="1">
      <x:c r="A155" s="15" t="str">
        <x:v>PAC-154</x:v>
      </x:c>
      <x:c r="B155" s="15" t="n">
        <x:v>81</x:v>
      </x:c>
      <x:c r="C155" s="15" t="str">
        <x:v>M</x:v>
      </x:c>
      <x:c r="D155" s="15" t="str">
        <x:v>Diabetes tipo 2</x:v>
      </x:c>
      <x:c r="E155" s="15" t="str">
        <x:v>Obesidade; Hipertensão arterial sistêmica</x:v>
      </x:c>
      <x:c r="F155" s="18" t="n">
        <x:v>9.6</x:v>
      </x:c>
      <x:c r="G155" s="20" t="n">
        <x:v>1.12</x:v>
      </x:c>
      <x:c r="H155" s="15" t="n">
        <x:v>172</x:v>
      </x:c>
      <x:c r="I155" s="18" t="n">
        <x:v>31.9</x:v>
      </x:c>
      <x:c r="J155" s="15" t="str">
        <x:v>Metformina 500 mg 2x/dia; Losartana 50 mg 2x/dia</x:v>
      </x:c>
      <x:c r="K155" s="15" t="str">
        <x:v>Não</x:v>
      </x:c>
      <x:c r="L155" s="15" t="str">
        <x:v>Não</x:v>
      </x:c>
      <x:c r="M155" s="22" t="n">
        <x:v>46203</x:v>
      </x:c>
      <x:c r="N155" s="15" t="str">
        <x:v>Paciente em acompanhamento ambulatorial por DM2. 81 anos, sexo M. Informa uso irregular da dieta, porém mantém as medicações. Exames recentes: HbA1c 9.6%, glicemia de jejum 172 mg/dL, creatinina 1.12 mg/dL. IMC 31.9 kg/m². Em uso de Metformina 500 mg 2x/dia; Losartana 50 mg 2x/dia. Idade acima da faixa prevista no protocolo. Sem queixas agudas no momento. Mantido acompanhamento e reforçadas medidas de estilo de vida.</x:v>
      </x:c>
      <x:c r="O155" s="15" t="str">
        <x:v>Não elegível</x:v>
      </x:c>
      <x:c r="P155" s="15" t="str">
        <x:v>Idade acima da faixa</x:v>
      </x:c>
      <x:c r="Q155" s="15" t="str">
        <x:f>IF(AND(B155&gt;=30,B155&lt;=70,F155&gt;=7,F155&lt;=10.5,G155&lt;=1.5,I155&gt;=25,I155&lt;=45,OR(ISNUMBER(SEARCH("diabetes",D155)),ISNUMBER(SEARCH("DM",D155))),ISNUMBER(SEARCH("metformina",J155)),K155="Não",L155="Não"),"Elegível","Não elegível")</x:f>
        <x:v>Não elegível</x:v>
      </x:c>
    </x:row>
    <x:row r="156" ht="54" customHeight="1">
      <x:c r="A156" s="15" t="str">
        <x:v>PAC-155</x:v>
      </x:c>
      <x:c r="B156" s="15" t="n">
        <x:v>51</x:v>
      </x:c>
      <x:c r="C156" s="15" t="str">
        <x:v>M</x:v>
      </x:c>
      <x:c r="D156" s="15" t="str">
        <x:v>Diabetes mellitus tipo 2</x:v>
      </x:c>
      <x:c r="E156" s="15" t="str">
        <x:v>Hipertensão arterial sistêmica; Dislipidemia</x:v>
      </x:c>
      <x:c r="F156" s="18" t="n">
        <x:v>9.6</x:v>
      </x:c>
      <x:c r="G156" s="20" t="n">
        <x:v>1.27</x:v>
      </x:c>
      <x:c r="H156" s="15" t="n">
        <x:v>179</x:v>
      </x:c>
      <x:c r="I156" s="18" t="n">
        <x:v>22.3</x:v>
      </x:c>
      <x:c r="J156" s="15" t="str">
        <x:v>Metformina 1.000 mg 2x/dia; Losartana 50 mg/dia; Atorvastatina 20 mg/noite</x:v>
      </x:c>
      <x:c r="K156" s="15" t="str">
        <x:v>Não</x:v>
      </x:c>
      <x:c r="L156" s="15" t="str">
        <x:v>Não</x:v>
      </x:c>
      <x:c r="M156" s="22" t="n">
        <x:v>46096</x:v>
      </x:c>
      <x:c r="N156" s="15" t="str">
        <x:v>Em consulta de rotina para controle metabólico. 51 anos, sexo M. Nega interrupção recente das medicações. Exames recentes: HbA1c 9.6%, glicemia de jejum 179 mg/dL, creatinina 1.27 mg/dL. IMC 22.3 kg/m². Em uso de Metformina 1.000 mg 2x/dia; Losartana 50 mg/dia; Atorvastatina 20 mg/noite. IMC abaixo do limite de inclusão. Sem queixas agudas no momento. Orientada manutenção do seguimento e controle laboratorial.</x:v>
      </x:c>
      <x:c r="O156" s="15" t="str">
        <x:v>Não elegível</x:v>
      </x:c>
      <x:c r="P156" s="15" t="str">
        <x:v>IMC abaixo da faixa</x:v>
      </x:c>
      <x:c r="Q156" s="15" t="str">
        <x:f>IF(AND(B156&gt;=30,B156&lt;=70,F156&gt;=7,F156&lt;=10.5,G156&lt;=1.5,I156&gt;=25,I156&lt;=45,OR(ISNUMBER(SEARCH("diabetes",D156)),ISNUMBER(SEARCH("DM",D156))),ISNUMBER(SEARCH("metformina",J156)),K156="Não",L156="Não"),"Elegível","Não elegível")</x:f>
        <x:v>Não elegível</x:v>
      </x:c>
    </x:row>
    <x:row r="157" ht="54" customHeight="1">
      <x:c r="A157" s="15" t="str">
        <x:v>PAC-156</x:v>
      </x:c>
      <x:c r="B157" s="15" t="n">
        <x:v>44</x:v>
      </x:c>
      <x:c r="C157" s="15" t="str">
        <x:v>F</x:v>
      </x:c>
      <x:c r="D157" s="15" t="str">
        <x:v>Diabetes tipo 2</x:v>
      </x:c>
      <x:c r="E157" s="15" t="str">
        <x:v>Dislipidemia</x:v>
      </x:c>
      <x:c r="F157" s="18" t="n">
        <x:v>10</x:v>
      </x:c>
      <x:c r="G157" s="20" t="n">
        <x:v>1.02</x:v>
      </x:c>
      <x:c r="H157" s="15" t="n">
        <x:v>172</x:v>
      </x:c>
      <x:c r="I157" s="18" t="n">
        <x:v>41.9</x:v>
      </x:c>
      <x:c r="J157" s="15" t="str">
        <x:v>Metformina 1.000 mg 2x/dia; Amlodipino 5 mg/dia</x:v>
      </x:c>
      <x:c r="K157" s="15" t="str">
        <x:v>Não</x:v>
      </x:c>
      <x:c r="L157" s="15" t="str">
        <x:v>Sim</x:v>
      </x:c>
      <x:c r="M157" s="22" t="n">
        <x:v>46232</x:v>
      </x:c>
      <x:c r="N157" s="15" t="str">
        <x:v>Em consulta de rotina para controle metabólico. 44 anos, sexo F. Nega interrupção recente das medicações. Exames recentes: HbA1c 10.0%, glicemia de jejum 172 mg/dL, creatinina 1.02 mg/dL. IMC 41.9 kg/m². Em uso de Metformina 1.000 mg 2x/dia; Amlodipino 5 mg/dia. Gestação atual registrada em prontuário. Gestação confirmada no atendimento atual. Nega hipoglicemias sintomáticas. Mantido acompanhamento e reforçadas medidas de estilo de vida.</x:v>
      </x:c>
      <x:c r="O157" s="15" t="str">
        <x:v>Não elegível</x:v>
      </x:c>
      <x:c r="P157" s="15" t="str">
        <x:v>Gestação</x:v>
      </x:c>
      <x:c r="Q157" s="15" t="str">
        <x:f>IF(AND(B157&gt;=30,B157&lt;=70,F157&gt;=7,F157&lt;=10.5,G157&lt;=1.5,I157&gt;=25,I157&lt;=45,OR(ISNUMBER(SEARCH("diabetes",D157)),ISNUMBER(SEARCH("DM",D157))),ISNUMBER(SEARCH("metformina",J157)),K157="Não",L157="Não"),"Elegível","Não elegível")</x:f>
        <x:v>Não elegível</x:v>
      </x:c>
    </x:row>
    <x:row r="158" ht="54" customHeight="1">
      <x:c r="A158" s="15" t="str">
        <x:v>PAC-157</x:v>
      </x:c>
      <x:c r="B158" s="15" t="n">
        <x:v>58</x:v>
      </x:c>
      <x:c r="C158" s="15" t="str">
        <x:v>F</x:v>
      </x:c>
      <x:c r="D158" s="15" t="str">
        <x:v>DM2</x:v>
      </x:c>
      <x:c r="E158" s="15" t="str">
        <x:v>Dislipidemia</x:v>
      </x:c>
      <x:c r="F158" s="18" t="n">
        <x:v>9.1</x:v>
      </x:c>
      <x:c r="G158" s="20" t="n">
        <x:v>1.84</x:v>
      </x:c>
      <x:c r="H158" s="15" t="n">
        <x:v>171</x:v>
      </x:c>
      <x:c r="I158" s="18" t="n">
        <x:v>34.5</x:v>
      </x:c>
      <x:c r="J158" s="15" t="str">
        <x:v>Metformina XR 500 mg 2x/dia; Losartana 50 mg/dia; Atorvastatina 20 mg/noite</x:v>
      </x:c>
      <x:c r="K158" s="15" t="str">
        <x:v>Não</x:v>
      </x:c>
      <x:c r="L158" s="15" t="str">
        <x:v>Não</x:v>
      </x:c>
      <x:c r="M158" s="22" t="n">
        <x:v>46090</x:v>
      </x:c>
      <x:c r="N158" s="15" t="str">
        <x:v>Retorna para seguimento de diabetes mellitus tipo 2. 58 anos, sexo F. Relata boa adesão ao tratamento prescrito. Exames recentes: HbA1c 9.1%, glicemia de jejum 171 mg/dL, creatinina 1.84 mg/dL. IMC 34.5 kg/m². Em uso de Metformina XR 500 mg 2x/dia; Losartana 50 mg/dia; Atorvastatina 20 mg/noite. Função renal acima do limite previsto no protocolo. Nega hipoglicemias sintomáticas. Programado retorno com novos exames laboratoriais.</x:v>
      </x:c>
      <x:c r="O158" s="15" t="str">
        <x:v>Não elegível</x:v>
      </x:c>
      <x:c r="P158" s="15" t="str">
        <x:v>Creatinina acima do limite</x:v>
      </x:c>
      <x:c r="Q158" s="15" t="str">
        <x:f>IF(AND(B158&gt;=30,B158&lt;=70,F158&gt;=7,F158&lt;=10.5,G158&lt;=1.5,I158&gt;=25,I158&lt;=45,OR(ISNUMBER(SEARCH("diabetes",D158)),ISNUMBER(SEARCH("DM",D158))),ISNUMBER(SEARCH("metformina",J158)),K158="Não",L158="Não"),"Elegível","Não elegível")</x:f>
        <x:v>Não elegível</x:v>
      </x:c>
    </x:row>
    <x:row r="159" ht="54" customHeight="1">
      <x:c r="A159" s="15" t="str">
        <x:v>PAC-158</x:v>
      </x:c>
      <x:c r="B159" s="15" t="n">
        <x:v>42</x:v>
      </x:c>
      <x:c r="C159" s="15" t="str">
        <x:v>F</x:v>
      </x:c>
      <x:c r="D159" s="15" t="str">
        <x:v>Diabetes mellitus tipo II</x:v>
      </x:c>
      <x:c r="E159" s="15" t="str">
        <x:v>Dislipidemia</x:v>
      </x:c>
      <x:c r="F159" s="18" t="n">
        <x:v>12.4</x:v>
      </x:c>
      <x:c r="G159" s="20" t="n">
        <x:v>1.19</x:v>
      </x:c>
      <x:c r="H159" s="15" t="n">
        <x:v>206</x:v>
      </x:c>
      <x:c r="I159" s="18" t="n">
        <x:v>37.6</x:v>
      </x:c>
      <x:c r="J159" s="15" t="str">
        <x:v>Metformina XR 1.000 mg à noite; Amlodipino 5 mg/dia</x:v>
      </x:c>
      <x:c r="K159" s="15" t="str">
        <x:v>Não</x:v>
      </x:c>
      <x:c r="L159" s="15" t="str">
        <x:v>Não</x:v>
      </x:c>
      <x:c r="M159" s="22" t="n">
        <x:v>46075</x:v>
      </x:c>
      <x:c r="N159" s="15" t="str">
        <x:v>Em consulta de rotina para controle metabólico. 42 anos, sexo F. Nega interrupção recente das medicações. Exames recentes: HbA1c 12.4%, glicemia de jejum 206 mg/dL, creatinina 1.19 mg/dL. IMC 37.6 kg/m². Em uso de Metformina XR 1.000 mg à noite; Amlodipino 5 mg/dia. HbA1c acima da faixa definida para inclusão. Clinicamente estável, sem intercorrências recentes. Programado retorno com novos exames laboratoriais.</x:v>
      </x:c>
      <x:c r="O159" s="15" t="str">
        <x:v>Não elegível</x:v>
      </x:c>
      <x:c r="P159" s="15" t="str">
        <x:v>HbA1c acima da faixa</x:v>
      </x:c>
      <x:c r="Q159" s="15" t="str">
        <x:f>IF(AND(B159&gt;=30,B159&lt;=70,F159&gt;=7,F159&lt;=10.5,G159&lt;=1.5,I159&gt;=25,I159&lt;=45,OR(ISNUMBER(SEARCH("diabetes",D159)),ISNUMBER(SEARCH("DM",D159))),ISNUMBER(SEARCH("metformina",J159)),K159="Não",L159="Não"),"Elegível","Não elegível")</x:f>
        <x:v>Não elegível</x:v>
      </x:c>
    </x:row>
    <x:row r="160" ht="54" customHeight="1">
      <x:c r="A160" s="15" t="str">
        <x:v>PAC-159</x:v>
      </x:c>
      <x:c r="B160" s="15" t="n">
        <x:v>48</x:v>
      </x:c>
      <x:c r="C160" s="15" t="str">
        <x:v>F</x:v>
      </x:c>
      <x:c r="D160" s="15" t="str">
        <x:v>DM2</x:v>
      </x:c>
      <x:c r="E160" s="15" t="str">
        <x:v>Hipertensão arterial sistêmica; Dislipidemia</x:v>
      </x:c>
      <x:c r="F160" s="18" t="n">
        <x:v>9.7</x:v>
      </x:c>
      <x:c r="G160" s="20" t="n">
        <x:v>0.99</x:v>
      </x:c>
      <x:c r="H160" s="15" t="n">
        <x:v>187</x:v>
      </x:c>
      <x:c r="I160" s="18" t="n">
        <x:v>34.4</x:v>
      </x:c>
      <x:c r="J160" s="15" t="str">
        <x:v>Metformina XR 500 mg 2x/dia; Losartana 50 mg 2x/dia</x:v>
      </x:c>
      <x:c r="K160" s="15" t="str">
        <x:v>Sim</x:v>
      </x:c>
      <x:c r="L160" s="15" t="str">
        <x:v>Não</x:v>
      </x:c>
      <x:c r="M160" s="22" t="n">
        <x:v>46098</x:v>
      </x:c>
      <x:c r="N160" s="15" t="str">
        <x:v>Paciente com diagnóstico prévio de DM2, em seguimento regular. 48 anos, sexo F. Nega interrupção recente das medicações. Exames recentes: HbA1c 9.7%, glicemia de jejum 187 mg/dL, creatinina 0.99 mg/dL. IMC 34.4 kg/m². Em uso de Metformina XR 500 mg 2x/dia; Losartana 50 mg 2x/dia. Há registro de neoplasia em atividade. Em acompanhamento oncológico por doença ativa. Sem sintomas sugestivos de descompensação aguda. Programado retorno com novos exames laboratoriais.</x:v>
      </x:c>
      <x:c r="O160" s="15" t="str">
        <x:v>Não elegível</x:v>
      </x:c>
      <x:c r="P160" s="15" t="str">
        <x:v>Neoplasia ativa</x:v>
      </x:c>
      <x:c r="Q160" s="15" t="str">
        <x:f>IF(AND(B160&gt;=30,B160&lt;=70,F160&gt;=7,F160&lt;=10.5,G160&lt;=1.5,I160&gt;=25,I160&lt;=45,OR(ISNUMBER(SEARCH("diabetes",D160)),ISNUMBER(SEARCH("DM",D160))),ISNUMBER(SEARCH("metformina",J160)),K160="Não",L160="Não"),"Elegível","Não elegível")</x:f>
        <x:v>Não elegível</x:v>
      </x:c>
    </x:row>
    <x:row r="161" ht="54" customHeight="1">
      <x:c r="A161" s="15" t="str">
        <x:v>PAC-160</x:v>
      </x:c>
      <x:c r="B161" s="15" t="n">
        <x:v>52</x:v>
      </x:c>
      <x:c r="C161" s="15" t="str">
        <x:v>M</x:v>
      </x:c>
      <x:c r="D161" s="15" t="str">
        <x:v>Diabetes tipo 2</x:v>
      </x:c>
      <x:c r="E161" s="15" t="str">
        <x:v>Hipotireoidismo</x:v>
      </x:c>
      <x:c r="F161" s="18" t="n">
        <x:v>12.6</x:v>
      </x:c>
      <x:c r="G161" s="20" t="n">
        <x:v>1.12</x:v>
      </x:c>
      <x:c r="H161" s="15" t="n">
        <x:v>197</x:v>
      </x:c>
      <x:c r="I161" s="18" t="n">
        <x:v>41.5</x:v>
      </x:c>
      <x:c r="J161" s="15" t="str">
        <x:v>Metformina XR 500 mg 2x/dia; Sinvastatina 20 mg à noite</x:v>
      </x:c>
      <x:c r="K161" s="15" t="str">
        <x:v>Não</x:v>
      </x:c>
      <x:c r="L161" s="15" t="str">
        <x:v>Não</x:v>
      </x:c>
      <x:c r="M161" s="22" t="n">
        <x:v>46118</x:v>
      </x:c>
      <x:c r="N161" s="15" t="str">
        <x:v>Paciente em acompanhamento ambulatorial por DM2. 52 anos, sexo M. Informa uso irregular da dieta, porém mantém as medicações. Exames recentes: HbA1c 12.6%, glicemia de jejum 197 mg/dL, creatinina 1.12 mg/dL. IMC 41.5 kg/m². Em uso de Metformina XR 500 mg 2x/dia; Sinvastatina 20 mg à noite. HbA1c acima da faixa definida para inclusão. Nega hipoglicemias sintomáticas. Mantido acompanhamento e reforçadas medidas de estilo de vida.</x:v>
      </x:c>
      <x:c r="O161" s="15" t="str">
        <x:v>Não elegível</x:v>
      </x:c>
      <x:c r="P161" s="15" t="str">
        <x:v>HbA1c acima da faixa</x:v>
      </x:c>
      <x:c r="Q161" s="15" t="str">
        <x:f>IF(AND(B161&gt;=30,B161&lt;=70,F161&gt;=7,F161&lt;=10.5,G161&lt;=1.5,I161&gt;=25,I161&lt;=45,OR(ISNUMBER(SEARCH("diabetes",D161)),ISNUMBER(SEARCH("DM",D161))),ISNUMBER(SEARCH("metformina",J161)),K161="Não",L161="Não"),"Elegível","Não elegível")</x:f>
        <x:v>Não elegível</x:v>
      </x:c>
    </x:row>
    <x:row r="162" ht="54" customHeight="1">
      <x:c r="A162" s="15" t="str">
        <x:v>PAC-161</x:v>
      </x:c>
      <x:c r="B162" s="15" t="n">
        <x:v>76</x:v>
      </x:c>
      <x:c r="C162" s="15" t="str">
        <x:v>M</x:v>
      </x:c>
      <x:c r="D162" s="15" t="str">
        <x:v>DM tipo II</x:v>
      </x:c>
      <x:c r="E162" s="15" t="str">
        <x:v>Obesidade</x:v>
      </x:c>
      <x:c r="F162" s="18" t="n">
        <x:v>8.2</x:v>
      </x:c>
      <x:c r="G162" s="20" t="n">
        <x:v>1.24</x:v>
      </x:c>
      <x:c r="H162" s="15" t="n">
        <x:v>157</x:v>
      </x:c>
      <x:c r="I162" s="18" t="n">
        <x:v>35.4</x:v>
      </x:c>
      <x:c r="J162" s="15" t="str">
        <x:v>Metformina 500 mg 2x/dia; Losartana 50 mg/dia; Atorvastatina 20 mg/noite</x:v>
      </x:c>
      <x:c r="K162" s="15" t="str">
        <x:v>Não</x:v>
      </x:c>
      <x:c r="L162" s="15" t="str">
        <x:v>Não</x:v>
      </x:c>
      <x:c r="M162" s="22" t="n">
        <x:v>46033</x:v>
      </x:c>
      <x:c r="N162" s="15" t="str">
        <x:v>Reavaliação clínica de paciente com diabetes tipo 2. 76 anos, sexo M. Refere adesão parcial às medidas não farmacológicas. Exames recentes: HbA1c 8.2%, glicemia de jejum 157 mg/dL, creatinina 1.24 mg/dL. IMC 35.4 kg/m². Em uso de Metformina 500 mg 2x/dia; Losartana 50 mg/dia; Atorvastatina 20 mg/noite. Idade acima da faixa prevista no protocolo. Sem sintomas sugestivos de descompensação aguda. Reforçadas orientações dietéticas e de atividade física.</x:v>
      </x:c>
      <x:c r="O162" s="15" t="str">
        <x:v>Não elegível</x:v>
      </x:c>
      <x:c r="P162" s="15" t="str">
        <x:v>Idade acima da faixa</x:v>
      </x:c>
      <x:c r="Q162" s="15" t="str">
        <x:f>IF(AND(B162&gt;=30,B162&lt;=70,F162&gt;=7,F162&lt;=10.5,G162&lt;=1.5,I162&gt;=25,I162&lt;=45,OR(ISNUMBER(SEARCH("diabetes",D162)),ISNUMBER(SEARCH("DM",D162))),ISNUMBER(SEARCH("metformina",J162)),K162="Não",L162="Não"),"Elegível","Não elegível")</x:f>
        <x:v>Não elegível</x:v>
      </x:c>
    </x:row>
    <x:row r="163" ht="54" customHeight="1">
      <x:c r="A163" s="15" t="str">
        <x:v>PAC-162</x:v>
      </x:c>
      <x:c r="B163" s="15" t="n">
        <x:v>61</x:v>
      </x:c>
      <x:c r="C163" s="15" t="str">
        <x:v>F</x:v>
      </x:c>
      <x:c r="D163" s="15" t="str">
        <x:v>Diabetes mellitus tipo II</x:v>
      </x:c>
      <x:c r="E163" s="15" t="str">
        <x:v>Hipertensão arterial sistêmica; Dislipidemia</x:v>
      </x:c>
      <x:c r="F163" s="18" t="n">
        <x:v>9.6</x:v>
      </x:c>
      <x:c r="G163" s="20" t="n">
        <x:v>1.08</x:v>
      </x:c>
      <x:c r="H163" s="15" t="n">
        <x:v>199</x:v>
      </x:c>
      <x:c r="I163" s="18" t="n">
        <x:v>33.8</x:v>
      </x:c>
      <x:c r="J163" s="15" t="str">
        <x:v>Metformina XR 1.000 mg à noite; Amlodipino 5 mg/dia</x:v>
      </x:c>
      <x:c r="K163" s="15" t="str">
        <x:v>Não</x:v>
      </x:c>
      <x:c r="L163" s="15" t="str">
        <x:v>Sim</x:v>
      </x:c>
      <x:c r="M163" s="22" t="n">
        <x:v>46156</x:v>
      </x:c>
      <x:c r="N163" s="15" t="str">
        <x:v>Paciente em acompanhamento ambulatorial por DM2. 61 anos, sexo F. Nega interrupção recente das medicações. Exames recentes: HbA1c 9.6%, glicemia de jejum 199 mg/dL, creatinina 1.08 mg/dL. IMC 33.8 kg/m². Em uso de Metformina XR 1.000 mg à noite; Amlodipino 5 mg/dia. Gestação atual registrada em prontuário. Gestação confirmada no atendimento atual. Nega poliúria, polidipsia ou perda ponderal recente. Mantida terapêutica atual até reavaliação.</x:v>
      </x:c>
      <x:c r="O163" s="15" t="str">
        <x:v>Não elegível</x:v>
      </x:c>
      <x:c r="P163" s="15" t="str">
        <x:v>Gestação</x:v>
      </x:c>
      <x:c r="Q163" s="15" t="str">
        <x:f>IF(AND(B163&gt;=30,B163&lt;=70,F163&gt;=7,F163&lt;=10.5,G163&lt;=1.5,I163&gt;=25,I163&lt;=45,OR(ISNUMBER(SEARCH("diabetes",D163)),ISNUMBER(SEARCH("DM",D163))),ISNUMBER(SEARCH("metformina",J163)),K163="Não",L163="Não"),"Elegível","Não elegível")</x:f>
        <x:v>Não elegível</x:v>
      </x:c>
    </x:row>
    <x:row r="164" ht="54" customHeight="1">
      <x:c r="A164" s="15" t="str">
        <x:v>PAC-163</x:v>
      </x:c>
      <x:c r="B164" s="15" t="n">
        <x:v>52</x:v>
      </x:c>
      <x:c r="C164" s="15" t="str">
        <x:v>F</x:v>
      </x:c>
      <x:c r="D164" s="15" t="str">
        <x:v>Diabetes tipo 2</x:v>
      </x:c>
      <x:c r="E164" s="15" t="str">
        <x:v>Hipertensão arterial sistêmica</x:v>
      </x:c>
      <x:c r="F164" s="18" t="n">
        <x:v>9.8</x:v>
      </x:c>
      <x:c r="G164" s="20" t="n">
        <x:v>2.04</x:v>
      </x:c>
      <x:c r="H164" s="15" t="n">
        <x:v>185</x:v>
      </x:c>
      <x:c r="I164" s="18" t="n">
        <x:v>40.9</x:v>
      </x:c>
      <x:c r="J164" s="15" t="str">
        <x:v>Metformina XR 500 mg 2x/dia; Sinvastatina 20 mg à noite</x:v>
      </x:c>
      <x:c r="K164" s="15" t="str">
        <x:v>Não</x:v>
      </x:c>
      <x:c r="L164" s="15" t="str">
        <x:v>Não</x:v>
      </x:c>
      <x:c r="M164" s="22" t="n">
        <x:v>46101</x:v>
      </x:c>
      <x:c r="N164" s="15" t="str">
        <x:v>Retorna para seguimento de diabetes mellitus tipo 2. 52 anos, sexo F. Refere uso regular das medicações. Exames recentes: HbA1c 9.8%, glicemia de jejum 185 mg/dL, creatinina 2.04 mg/dL. IMC 40.9 kg/m². Em uso de Metformina XR 500 mg 2x/dia; Sinvastatina 20 mg à noite. Função renal acima do limite previsto no protocolo. Nega poliúria, polidipsia ou perda ponderal recente. Orientada manutenção do seguimento e controle laboratorial.</x:v>
      </x:c>
      <x:c r="O164" s="15" t="str">
        <x:v>Não elegível</x:v>
      </x:c>
      <x:c r="P164" s="15" t="str">
        <x:v>Creatinina acima do limite</x:v>
      </x:c>
      <x:c r="Q164" s="15" t="str">
        <x:f>IF(AND(B164&gt;=30,B164&lt;=70,F164&gt;=7,F164&lt;=10.5,G164&lt;=1.5,I164&gt;=25,I164&lt;=45,OR(ISNUMBER(SEARCH("diabetes",D164)),ISNUMBER(SEARCH("DM",D164))),ISNUMBER(SEARCH("metformina",J164)),K164="Não",L164="Não"),"Elegível","Não elegível")</x:f>
        <x:v>Não elegível</x:v>
      </x:c>
    </x:row>
    <x:row r="165" ht="54" customHeight="1">
      <x:c r="A165" s="15" t="str">
        <x:v>PAC-164</x:v>
      </x:c>
      <x:c r="B165" s="15" t="n">
        <x:v>44</x:v>
      </x:c>
      <x:c r="C165" s="15" t="str">
        <x:v>F</x:v>
      </x:c>
      <x:c r="D165" s="15" t="str">
        <x:v>Diabetes tipo 2</x:v>
      </x:c>
      <x:c r="E165" s="15" t="str">
        <x:v>Doença do refluxo gastroesofágico</x:v>
      </x:c>
      <x:c r="F165" s="18" t="n">
        <x:v>11.2</x:v>
      </x:c>
      <x:c r="G165" s="20" t="n">
        <x:v>1.29</x:v>
      </x:c>
      <x:c r="H165" s="15" t="n">
        <x:v>186</x:v>
      </x:c>
      <x:c r="I165" s="18" t="n">
        <x:v>35.2</x:v>
      </x:c>
      <x:c r="J165" s="15" t="str">
        <x:v>Metformina 850 mg manhã e noite</x:v>
      </x:c>
      <x:c r="K165" s="15" t="str">
        <x:v>Não</x:v>
      </x:c>
      <x:c r="L165" s="15" t="str">
        <x:v>Não</x:v>
      </x:c>
      <x:c r="M165" s="22" t="n">
        <x:v>46092</x:v>
      </x:c>
      <x:c r="N165" s="15" t="str">
        <x:v>Reavaliação clínica de paciente com diabetes tipo 2. 44 anos, sexo F. Informa uso irregular da dieta, porém mantém as medicações. Exames recentes: HbA1c 11.2%, glicemia de jejum 186 mg/dL, creatinina 1.29 mg/dL. IMC 35.2 kg/m². Em uso de Metformina 850 mg manhã e noite. HbA1c acima da faixa definida para inclusão. Sem sintomas sugestivos de descompensação aguda. Programado retorno com novos exames laboratoriais.</x:v>
      </x:c>
      <x:c r="O165" s="15" t="str">
        <x:v>Não elegível</x:v>
      </x:c>
      <x:c r="P165" s="15" t="str">
        <x:v>HbA1c acima da faixa</x:v>
      </x:c>
      <x:c r="Q165" s="15" t="str">
        <x:f>IF(AND(B165&gt;=30,B165&lt;=70,F165&gt;=7,F165&lt;=10.5,G165&lt;=1.5,I165&gt;=25,I165&lt;=45,OR(ISNUMBER(SEARCH("diabetes",D165)),ISNUMBER(SEARCH("DM",D165))),ISNUMBER(SEARCH("metformina",J165)),K165="Não",L165="Não"),"Elegível","Não elegível")</x:f>
        <x:v>Não elegível</x:v>
      </x:c>
    </x:row>
    <x:row r="166" ht="54" customHeight="1">
      <x:c r="A166" s="15" t="str">
        <x:v>PAC-165</x:v>
      </x:c>
      <x:c r="B166" s="15" t="n">
        <x:v>54</x:v>
      </x:c>
      <x:c r="C166" s="15" t="str">
        <x:v>M</x:v>
      </x:c>
      <x:c r="D166" s="15" t="str">
        <x:v>DM2</x:v>
      </x:c>
      <x:c r="E166" s="15" t="str">
        <x:v>Hipotireoidismo</x:v>
      </x:c>
      <x:c r="F166" s="18" t="n">
        <x:v>8.7</x:v>
      </x:c>
      <x:c r="G166" s="20" t="n">
        <x:v>1.62</x:v>
      </x:c>
      <x:c r="H166" s="15" t="n">
        <x:v>185</x:v>
      </x:c>
      <x:c r="I166" s="18" t="n">
        <x:v>31</x:v>
      </x:c>
      <x:c r="J166" s="15" t="str">
        <x:v>Metformina 1.000 mg 2x/dia; Levotiroxina 75 mcg/dia</x:v>
      </x:c>
      <x:c r="K166" s="15" t="str">
        <x:v>Não</x:v>
      </x:c>
      <x:c r="L166" s="15" t="str">
        <x:v>Não</x:v>
      </x:c>
      <x:c r="M166" s="22" t="n">
        <x:v>46070</x:v>
      </x:c>
      <x:c r="N166" s="15" t="str">
        <x:v>Retorna para seguimento de diabetes mellitus tipo 2. 54 anos, sexo M. Refere uso regular das medicações. Exames recentes: HbA1c 8.7%, glicemia de jejum 185 mg/dL, creatinina 1.62 mg/dL. IMC 31.0 kg/m². Em uso de Metformina 1.000 mg 2x/dia; Levotiroxina 75 mcg/dia. Função renal acima do limite previsto no protocolo. Nega poliúria, polidipsia ou perda ponderal recente. Mantido acompanhamento e reforçadas medidas de estilo de vida.</x:v>
      </x:c>
      <x:c r="O166" s="15" t="str">
        <x:v>Não elegível</x:v>
      </x:c>
      <x:c r="P166" s="15" t="str">
        <x:v>Creatinina acima do limite</x:v>
      </x:c>
      <x:c r="Q166" s="15" t="str">
        <x:f>IF(AND(B166&gt;=30,B166&lt;=70,F166&gt;=7,F166&lt;=10.5,G166&lt;=1.5,I166&gt;=25,I166&lt;=45,OR(ISNUMBER(SEARCH("diabetes",D166)),ISNUMBER(SEARCH("DM",D166))),ISNUMBER(SEARCH("metformina",J166)),K166="Não",L166="Não"),"Elegível","Não elegível")</x:f>
        <x:v>Não elegível</x:v>
      </x:c>
    </x:row>
    <x:row r="167" ht="54" customHeight="1">
      <x:c r="A167" s="15" t="str">
        <x:v>PAC-166</x:v>
      </x:c>
      <x:c r="B167" s="15" t="n">
        <x:v>41</x:v>
      </x:c>
      <x:c r="C167" s="15" t="str">
        <x:v>F</x:v>
      </x:c>
      <x:c r="D167" s="15" t="str">
        <x:v>Diabetes tipo 2</x:v>
      </x:c>
      <x:c r="E167" s="15" t="str">
        <x:v>Hipotireoidismo</x:v>
      </x:c>
      <x:c r="F167" s="18" t="n">
        <x:v>9</x:v>
      </x:c>
      <x:c r="G167" s="20" t="n">
        <x:v>1.69</x:v>
      </x:c>
      <x:c r="H167" s="15" t="n">
        <x:v>177</x:v>
      </x:c>
      <x:c r="I167" s="18" t="n">
        <x:v>26.9</x:v>
      </x:c>
      <x:c r="J167" s="15" t="str">
        <x:v>Metformina 1.000 mg 2x/dia; Amlodipino 5 mg/dia</x:v>
      </x:c>
      <x:c r="K167" s="15" t="str">
        <x:v>Não</x:v>
      </x:c>
      <x:c r="L167" s="15" t="str">
        <x:v>Não</x:v>
      </x:c>
      <x:c r="M167" s="22" t="n">
        <x:v>46221</x:v>
      </x:c>
      <x:c r="N167" s="15" t="str">
        <x:v>Reavaliação clínica de paciente com diabetes tipo 2. 41 anos, sexo F. Refere uso regular das medicações. Exames recentes: HbA1c 9.0%, glicemia de jejum 177 mg/dL, creatinina 1.69 mg/dL. IMC 26.9 kg/m². Em uso de Metformina 1.000 mg 2x/dia; Amlodipino 5 mg/dia. Função renal acima do limite previsto no protocolo. Sem queixas agudas no momento. Mantido acompanhamento e reforçadas medidas de estilo de vida.</x:v>
      </x:c>
      <x:c r="O167" s="15" t="str">
        <x:v>Não elegível</x:v>
      </x:c>
      <x:c r="P167" s="15" t="str">
        <x:v>Creatinina acima do limite</x:v>
      </x:c>
      <x:c r="Q167" s="15" t="str">
        <x:f>IF(AND(B167&gt;=30,B167&lt;=70,F167&gt;=7,F167&lt;=10.5,G167&lt;=1.5,I167&gt;=25,I167&lt;=45,OR(ISNUMBER(SEARCH("diabetes",D167)),ISNUMBER(SEARCH("DM",D167))),ISNUMBER(SEARCH("metformina",J167)),K167="Não",L167="Não"),"Elegível","Não elegível")</x:f>
        <x:v>Não elegível</x:v>
      </x:c>
    </x:row>
    <x:row r="168" ht="54" customHeight="1">
      <x:c r="A168" s="15" t="str">
        <x:v>PAC-167</x:v>
      </x:c>
      <x:c r="B168" s="15" t="n">
        <x:v>47</x:v>
      </x:c>
      <x:c r="C168" s="15" t="str">
        <x:v>M</x:v>
      </x:c>
      <x:c r="D168" s="15" t="str">
        <x:v>Diabetes mellitus tipo II</x:v>
      </x:c>
      <x:c r="E168" s="15" t="str">
        <x:v>Esteatose hepática</x:v>
      </x:c>
      <x:c r="F168" s="18" t="n">
        <x:v>8.3</x:v>
      </x:c>
      <x:c r="G168" s="20" t="n">
        <x:v>1.34</x:v>
      </x:c>
      <x:c r="H168" s="15" t="n">
        <x:v>185</x:v>
      </x:c>
      <x:c r="I168" s="18" t="n">
        <x:v>35.8</x:v>
      </x:c>
      <x:c r="J168" s="15" t="str">
        <x:v>Metformina XR 500 mg 2x/dia; Levotiroxina 75 mcg/dia</x:v>
      </x:c>
      <x:c r="K168" s="15" t="str">
        <x:v>Sim</x:v>
      </x:c>
      <x:c r="L168" s="15" t="str">
        <x:v>Não</x:v>
      </x:c>
      <x:c r="M168" s="22" t="n">
        <x:v>46207</x:v>
      </x:c>
      <x:c r="N168" s="15" t="str">
        <x:v>Paciente com diagnóstico prévio de DM2, em seguimento regular. 47 anos, sexo M. Refere uso regular das medicações. Exames recentes: HbA1c 8.3%, glicemia de jejum 185 mg/dL, creatinina 1.34 mg/dL. IMC 35.8 kg/m². Em uso de Metformina XR 500 mg 2x/dia; Levotiroxina 75 mcg/dia. Há registro de neoplasia em atividade. Em acompanhamento oncológico por doença ativa. Clinicamente estável, sem intercorrências recentes. Orientada manutenção do seguimento e controle laboratorial.</x:v>
      </x:c>
      <x:c r="O168" s="15" t="str">
        <x:v>Não elegível</x:v>
      </x:c>
      <x:c r="P168" s="15" t="str">
        <x:v>Neoplasia ativa</x:v>
      </x:c>
      <x:c r="Q168" s="15" t="str">
        <x:f>IF(AND(B168&gt;=30,B168&lt;=70,F168&gt;=7,F168&lt;=10.5,G168&lt;=1.5,I168&gt;=25,I168&lt;=45,OR(ISNUMBER(SEARCH("diabetes",D168)),ISNUMBER(SEARCH("DM",D168))),ISNUMBER(SEARCH("metformina",J168)),K168="Não",L168="Não"),"Elegível","Não elegível")</x:f>
        <x:v>Não elegível</x:v>
      </x:c>
    </x:row>
    <x:row r="169" ht="54" customHeight="1">
      <x:c r="A169" s="15" t="str">
        <x:v>PAC-168</x:v>
      </x:c>
      <x:c r="B169" s="15" t="n">
        <x:v>48</x:v>
      </x:c>
      <x:c r="C169" s="15" t="str">
        <x:v>M</x:v>
      </x:c>
      <x:c r="D169" s="15" t="str">
        <x:v>Diabetes mellitus tipo II</x:v>
      </x:c>
      <x:c r="E169" s="15" t="str">
        <x:v>Osteoartrite de joelhos</x:v>
      </x:c>
      <x:c r="F169" s="18" t="n">
        <x:v>6.8</x:v>
      </x:c>
      <x:c r="G169" s="20" t="n">
        <x:v>1.27</x:v>
      </x:c>
      <x:c r="H169" s="15" t="n">
        <x:v>164</x:v>
      </x:c>
      <x:c r="I169" s="18" t="n">
        <x:v>40.1</x:v>
      </x:c>
      <x:c r="J169" s="15" t="str">
        <x:v>Metformina 500 mg 2x/dia; Losartana 50 mg/dia; Atorvastatina 20 mg/noite</x:v>
      </x:c>
      <x:c r="K169" s="15" t="str">
        <x:v>Não</x:v>
      </x:c>
      <x:c r="L169" s="15" t="str">
        <x:v>Não</x:v>
      </x:c>
      <x:c r="M169" s="22" t="n">
        <x:v>46134</x:v>
      </x:c>
      <x:c r="N169" s="15" t="str">
        <x:v>Em consulta de rotina para controle metabólico. 48 anos, sexo M. Refere adesão parcial às medidas não farmacológicas. Exames recentes: HbA1c 6.8%, glicemia de jejum 164 mg/dL, creatinina 1.27 mg/dL. IMC 40.1 kg/m². Em uso de Metformina 500 mg 2x/dia; Losartana 50 mg/dia; Atorvastatina 20 mg/noite. HbA1c abaixo da faixa definida para inclusão. Sem queixas agudas no momento. Reforçadas orientações dietéticas e de atividade física.</x:v>
      </x:c>
      <x:c r="O169" s="15" t="str">
        <x:v>Não elegível</x:v>
      </x:c>
      <x:c r="P169" s="15" t="str">
        <x:v>HbA1c abaixo da faixa</x:v>
      </x:c>
      <x:c r="Q169" s="15" t="str">
        <x:f>IF(AND(B169&gt;=30,B169&lt;=70,F169&gt;=7,F169&lt;=10.5,G169&lt;=1.5,I169&gt;=25,I169&lt;=45,OR(ISNUMBER(SEARCH("diabetes",D169)),ISNUMBER(SEARCH("DM",D169))),ISNUMBER(SEARCH("metformina",J169)),K169="Não",L169="Não"),"Elegível","Não elegível")</x:f>
        <x:v>Não elegível</x:v>
      </x:c>
    </x:row>
    <x:row r="170" ht="54" customHeight="1">
      <x:c r="A170" s="15" t="str">
        <x:v>PAC-169</x:v>
      </x:c>
      <x:c r="B170" s="15" t="n">
        <x:v>53</x:v>
      </x:c>
      <x:c r="C170" s="15" t="str">
        <x:v>F</x:v>
      </x:c>
      <x:c r="D170" s="15" t="str">
        <x:v>Diabetes mellitus tipo 2</x:v>
      </x:c>
      <x:c r="E170" s="15" t="str">
        <x:v>Obesidade; Hipertensão arterial sistêmica</x:v>
      </x:c>
      <x:c r="F170" s="18" t="n">
        <x:v>6.8</x:v>
      </x:c>
      <x:c r="G170" s="20" t="n">
        <x:v>1.12</x:v>
      </x:c>
      <x:c r="H170" s="15" t="n">
        <x:v>156</x:v>
      </x:c>
      <x:c r="I170" s="18" t="n">
        <x:v>31.5</x:v>
      </x:c>
      <x:c r="J170" s="15" t="str">
        <x:v>Metformina XR 1.000 mg à noite; Sinvastatina 20 mg à noite</x:v>
      </x:c>
      <x:c r="K170" s="15" t="str">
        <x:v>Não</x:v>
      </x:c>
      <x:c r="L170" s="15" t="str">
        <x:v>Não</x:v>
      </x:c>
      <x:c r="M170" s="22" t="n">
        <x:v>46061</x:v>
      </x:c>
      <x:c r="N170" s="15" t="str">
        <x:v>Retorna para seguimento de diabetes mellitus tipo 2. 53 anos, sexo F. Refere uso regular das medicações. Exames recentes: HbA1c 6.8%, glicemia de jejum 156 mg/dL, creatinina 1.12 mg/dL. IMC 31.5 kg/m². Em uso de Metformina XR 1.000 mg à noite; Sinvastatina 20 mg à noite. HbA1c abaixo da faixa definida para inclusão. Nega poliúria, polidipsia ou perda ponderal recente. Mantida terapêutica atual até reavaliação.</x:v>
      </x:c>
      <x:c r="O170" s="15" t="str">
        <x:v>Não elegível</x:v>
      </x:c>
      <x:c r="P170" s="15" t="str">
        <x:v>HbA1c abaixo da faixa</x:v>
      </x:c>
      <x:c r="Q170" s="15" t="str">
        <x:f>IF(AND(B170&gt;=30,B170&lt;=70,F170&gt;=7,F170&lt;=10.5,G170&lt;=1.5,I170&gt;=25,I170&lt;=45,OR(ISNUMBER(SEARCH("diabetes",D170)),ISNUMBER(SEARCH("DM",D170))),ISNUMBER(SEARCH("metformina",J170)),K170="Não",L170="Não"),"Elegível","Não elegível")</x:f>
        <x:v>Não elegível</x:v>
      </x:c>
    </x:row>
    <x:row r="171" ht="54" customHeight="1">
      <x:c r="A171" s="15" t="str">
        <x:v>PAC-170</x:v>
      </x:c>
      <x:c r="B171" s="15" t="n">
        <x:v>56</x:v>
      </x:c>
      <x:c r="C171" s="15" t="str">
        <x:v>M</x:v>
      </x:c>
      <x:c r="D171" s="15" t="str">
        <x:v>DM2</x:v>
      </x:c>
      <x:c r="E171" s="15" t="str">
        <x:v>Hipertensão arterial sistêmica</x:v>
      </x:c>
      <x:c r="F171" s="18" t="n">
        <x:v>6.2</x:v>
      </x:c>
      <x:c r="G171" s="20" t="n">
        <x:v>1.25</x:v>
      </x:c>
      <x:c r="H171" s="15" t="n">
        <x:v>137</x:v>
      </x:c>
      <x:c r="I171" s="18" t="n">
        <x:v>37.7</x:v>
      </x:c>
      <x:c r="J171" s="15" t="str">
        <x:v>Metformina 850 mg manhã e noite; Losartana 50 mg 2x/dia</x:v>
      </x:c>
      <x:c r="K171" s="15" t="str">
        <x:v>Não</x:v>
      </x:c>
      <x:c r="L171" s="15" t="str">
        <x:v>Não</x:v>
      </x:c>
      <x:c r="M171" s="22" t="n">
        <x:v>46221</x:v>
      </x:c>
      <x:c r="N171" s="15" t="str">
        <x:v>Reavaliação clínica de paciente com diabetes tipo 2. 56 anos, sexo M. Refere uso regular das medicações. Exames recentes: HbA1c 6.2%, glicemia de jejum 137 mg/dL, creatinina 1.25 mg/dL. IMC 37.7 kg/m². Em uso de Metformina 850 mg manhã e noite; Losartana 50 mg 2x/dia. HbA1c abaixo da faixa definida para inclusão. Sem queixas agudas no momento. Programado retorno com novos exames laboratoriais.</x:v>
      </x:c>
      <x:c r="O171" s="15" t="str">
        <x:v>Não elegível</x:v>
      </x:c>
      <x:c r="P171" s="15" t="str">
        <x:v>HbA1c abaixo da faixa</x:v>
      </x:c>
      <x:c r="Q171" s="15" t="str">
        <x:f>IF(AND(B171&gt;=30,B171&lt;=70,F171&gt;=7,F171&lt;=10.5,G171&lt;=1.5,I171&gt;=25,I171&lt;=45,OR(ISNUMBER(SEARCH("diabetes",D171)),ISNUMBER(SEARCH("DM",D171))),ISNUMBER(SEARCH("metformina",J171)),K171="Não",L171="Não"),"Elegível","Não elegível")</x:f>
        <x:v>Não elegível</x:v>
      </x:c>
    </x:row>
    <x:row r="172" ht="54" customHeight="1">
      <x:c r="A172" s="15" t="str">
        <x:v>PAC-171</x:v>
      </x:c>
      <x:c r="B172" s="15" t="n">
        <x:v>60</x:v>
      </x:c>
      <x:c r="C172" s="15" t="str">
        <x:v>M</x:v>
      </x:c>
      <x:c r="D172" s="15" t="str">
        <x:v>Diabetes mellitus tipo 2</x:v>
      </x:c>
      <x:c r="E172" s="15" t="str">
        <x:v>Esteatose hepática</x:v>
      </x:c>
      <x:c r="F172" s="18" t="n">
        <x:v>9.2</x:v>
      </x:c>
      <x:c r="G172" s="20" t="n">
        <x:v>0.88</x:v>
      </x:c>
      <x:c r="H172" s="15" t="n">
        <x:v>189</x:v>
      </x:c>
      <x:c r="I172" s="18" t="n">
        <x:v>45.1</x:v>
      </x:c>
      <x:c r="J172" s="15" t="str">
        <x:v>Metformina 850 mg manhã e noite</x:v>
      </x:c>
      <x:c r="K172" s="15" t="str">
        <x:v>Não</x:v>
      </x:c>
      <x:c r="L172" s="15" t="str">
        <x:v>Não</x:v>
      </x:c>
      <x:c r="M172" s="22" t="n">
        <x:v>46137</x:v>
      </x:c>
      <x:c r="N172" s="15" t="str">
        <x:v>Reavaliação clínica de paciente com diabetes tipo 2. 60 anos, sexo M. Relata boa adesão ao tratamento prescrito. Exames recentes: HbA1c 9.2%, glicemia de jejum 189 mg/dL, creatinina 0.88 mg/dL. IMC 45.1 kg/m². Em uso de Metformina 850 mg manhã e noite. Caso construído próximo a um ponto de corte do protocolo. Sem sintomas sugestivos de descompensação aguda. Mantida terapêutica atual até reavaliação.</x:v>
      </x:c>
      <x:c r="O172" s="15" t="str">
        <x:v>Limítrofe</x:v>
      </x:c>
      <x:c r="P172" s="15" t="str">
        <x:v>IMC máximo — fora por pequena margem</x:v>
      </x:c>
      <x:c r="Q172" s="15" t="str">
        <x:f>IF(AND(B172&gt;=30,B172&lt;=70,F172&gt;=7,F172&lt;=10.5,G172&lt;=1.5,I172&gt;=25,I172&lt;=45,OR(ISNUMBER(SEARCH("diabetes",D172)),ISNUMBER(SEARCH("DM",D172))),ISNUMBER(SEARCH("metformina",J172)),K172="Não",L172="Não"),"Elegível","Não elegível")</x:f>
        <x:v>Não elegível</x:v>
      </x:c>
    </x:row>
    <x:row r="173" ht="54" customHeight="1">
      <x:c r="A173" s="15" t="str">
        <x:v>PAC-172</x:v>
      </x:c>
      <x:c r="B173" s="15" t="n">
        <x:v>43</x:v>
      </x:c>
      <x:c r="C173" s="15" t="str">
        <x:v>F</x:v>
      </x:c>
      <x:c r="D173" s="15" t="str">
        <x:v>DM2</x:v>
      </x:c>
      <x:c r="E173" s="15" t="str">
        <x:v>Doença do refluxo gastroesofágico</x:v>
      </x:c>
      <x:c r="F173" s="18" t="n">
        <x:v>7.4</x:v>
      </x:c>
      <x:c r="G173" s="20" t="n">
        <x:v>1.5</x:v>
      </x:c>
      <x:c r="H173" s="15" t="n">
        <x:v>160</x:v>
      </x:c>
      <x:c r="I173" s="18" t="n">
        <x:v>27.2</x:v>
      </x:c>
      <x:c r="J173" s="15" t="str">
        <x:v>Metformina 500 mg 2x/dia</x:v>
      </x:c>
      <x:c r="K173" s="15" t="str">
        <x:v>Não</x:v>
      </x:c>
      <x:c r="L173" s="15" t="str">
        <x:v>Não</x:v>
      </x:c>
      <x:c r="M173" s="22" t="n">
        <x:v>46093</x:v>
      </x:c>
      <x:c r="N173" s="15" t="str">
        <x:v>Paciente com diagnóstico prévio de DM2, em seguimento regular. 43 anos, sexo F. Informa uso irregular da dieta, porém mantém as medicações. Exames recentes: HbA1c 7.4%, glicemia de jejum 160 mg/dL, creatinina 1.50 mg/dL. IMC 27.2 kg/m². Em uso de Metformina 500 mg 2x/dia. Caso construído próximo a um ponto de corte do protocolo. Sem sintomas sugestivos de descompensação aguda. Reforçadas orientações dietéticas e de atividade física.</x:v>
      </x:c>
      <x:c r="O173" s="15" t="str">
        <x:v>Limítrofe</x:v>
      </x:c>
      <x:c r="P173" s="15" t="str">
        <x:v>Creatinina próxima do limite — dentro por pequena margem</x:v>
      </x:c>
      <x:c r="Q173" s="15" t="str">
        <x:f>IF(AND(B173&gt;=30,B173&lt;=70,F173&gt;=7,F173&lt;=10.5,G173&lt;=1.5,I173&gt;=25,I173&lt;=45,OR(ISNUMBER(SEARCH("diabetes",D173)),ISNUMBER(SEARCH("DM",D173))),ISNUMBER(SEARCH("metformina",J173)),K173="Não",L173="Não"),"Elegível","Não elegível")</x:f>
        <x:v>Elegível</x:v>
      </x:c>
    </x:row>
    <x:row r="174" ht="54" customHeight="1">
      <x:c r="A174" s="15" t="str">
        <x:v>PAC-173</x:v>
      </x:c>
      <x:c r="B174" s="15" t="n">
        <x:v>29</x:v>
      </x:c>
      <x:c r="C174" s="15" t="str">
        <x:v>F</x:v>
      </x:c>
      <x:c r="D174" s="15" t="str">
        <x:v>DM tipo II</x:v>
      </x:c>
      <x:c r="E174" s="15" t="str">
        <x:v>Osteoartrite de joelhos</x:v>
      </x:c>
      <x:c r="F174" s="18" t="n">
        <x:v>8.3</x:v>
      </x:c>
      <x:c r="G174" s="20" t="n">
        <x:v>0.9</x:v>
      </x:c>
      <x:c r="H174" s="15" t="n">
        <x:v>159</x:v>
      </x:c>
      <x:c r="I174" s="18" t="n">
        <x:v>42.1</x:v>
      </x:c>
      <x:c r="J174" s="15" t="str">
        <x:v>Metformina XR 1.000 mg à noite; Amlodipino 5 mg/dia</x:v>
      </x:c>
      <x:c r="K174" s="15" t="str">
        <x:v>Não</x:v>
      </x:c>
      <x:c r="L174" s="15" t="str">
        <x:v>Não</x:v>
      </x:c>
      <x:c r="M174" s="22" t="n">
        <x:v>46152</x:v>
      </x:c>
      <x:c r="N174" s="15" t="str">
        <x:v>Retorna para seguimento de diabetes mellitus tipo 2. 29 anos, sexo F. Nega interrupção recente das medicações. Exames recentes: HbA1c 8.3%, glicemia de jejum 159 mg/dL, creatinina 0.90 mg/dL. IMC 42.1 kg/m². Em uso de Metformina XR 1.000 mg à noite; Amlodipino 5 mg/dia. Caso construído próximo a um ponto de corte do protocolo. Nega hipoglicemias sintomáticas. Mantida terapêutica atual até reavaliação.</x:v>
      </x:c>
      <x:c r="O174" s="15" t="str">
        <x:v>Limítrofe</x:v>
      </x:c>
      <x:c r="P174" s="15" t="str">
        <x:v>Idade mínima — fora por pequena margem</x:v>
      </x:c>
      <x:c r="Q174" s="15" t="str">
        <x:f>IF(AND(B174&gt;=30,B174&lt;=70,F174&gt;=7,F174&lt;=10.5,G174&lt;=1.5,I174&gt;=25,I174&lt;=45,OR(ISNUMBER(SEARCH("diabetes",D174)),ISNUMBER(SEARCH("DM",D174))),ISNUMBER(SEARCH("metformina",J174)),K174="Não",L174="Não"),"Elegível","Não elegível")</x:f>
        <x:v>Não elegível</x:v>
      </x:c>
    </x:row>
    <x:row r="175" ht="54" customHeight="1">
      <x:c r="A175" s="15" t="str">
        <x:v>PAC-174</x:v>
      </x:c>
      <x:c r="B175" s="15" t="n">
        <x:v>71</x:v>
      </x:c>
      <x:c r="C175" s="15" t="str">
        <x:v>M</x:v>
      </x:c>
      <x:c r="D175" s="15" t="str">
        <x:v>Diabetes mellitus tipo 2</x:v>
      </x:c>
      <x:c r="E175" s="15" t="str">
        <x:v>Obesidade; Hipertensão arterial sistêmica</x:v>
      </x:c>
      <x:c r="F175" s="18" t="n">
        <x:v>8</x:v>
      </x:c>
      <x:c r="G175" s="20" t="n">
        <x:v>0.91</x:v>
      </x:c>
      <x:c r="H175" s="15" t="n">
        <x:v>175</x:v>
      </x:c>
      <x:c r="I175" s="18" t="n">
        <x:v>29.6</x:v>
      </x:c>
      <x:c r="J175" s="15" t="str">
        <x:v>Metformina XR 500 mg 2x/dia; Levotiroxina 75 mcg/dia</x:v>
      </x:c>
      <x:c r="K175" s="15" t="str">
        <x:v>Não</x:v>
      </x:c>
      <x:c r="L175" s="15" t="str">
        <x:v>Não</x:v>
      </x:c>
      <x:c r="M175" s="22" t="n">
        <x:v>46215</x:v>
      </x:c>
      <x:c r="N175" s="15" t="str">
        <x:v>Paciente com diagnóstico prévio de DM2, em seguimento regular. 71 anos, sexo M. Informa uso irregular da dieta, porém mantém as medicações. Exames recentes: HbA1c 8.0%, glicemia de jejum 175 mg/dL, creatinina 0.91 mg/dL. IMC 29.6 kg/m². Em uso de Metformina XR 500 mg 2x/dia; Levotiroxina 75 mcg/dia. Caso construído próximo a um ponto de corte do protocolo. Nega hipoglicemias sintomáticas. Orientada manutenção do seguimento e controle laboratorial.</x:v>
      </x:c>
      <x:c r="O175" s="15" t="str">
        <x:v>Limítrofe</x:v>
      </x:c>
      <x:c r="P175" s="15" t="str">
        <x:v>Idade máxima — fora por pequena margem</x:v>
      </x:c>
      <x:c r="Q175" s="15" t="str">
        <x:f>IF(AND(B175&gt;=30,B175&lt;=70,F175&gt;=7,F175&lt;=10.5,G175&lt;=1.5,I175&gt;=25,I175&lt;=45,OR(ISNUMBER(SEARCH("diabetes",D175)),ISNUMBER(SEARCH("DM",D175))),ISNUMBER(SEARCH("metformina",J175)),K175="Não",L175="Não"),"Elegível","Não elegível")</x:f>
        <x:v>Não elegível</x:v>
      </x:c>
    </x:row>
    <x:row r="176" ht="54" customHeight="1">
      <x:c r="A176" s="15" t="str">
        <x:v>PAC-175</x:v>
      </x:c>
      <x:c r="B176" s="15" t="n">
        <x:v>52</x:v>
      </x:c>
      <x:c r="C176" s="15" t="str">
        <x:v>F</x:v>
      </x:c>
      <x:c r="D176" s="15" t="str">
        <x:v>Diabetes tipo 2</x:v>
      </x:c>
      <x:c r="E176" s="15" t="str">
        <x:v>Doença do refluxo gastroesofágico</x:v>
      </x:c>
      <x:c r="F176" s="18" t="n">
        <x:v>9</x:v>
      </x:c>
      <x:c r="G176" s="20" t="n">
        <x:v>0.97</x:v>
      </x:c>
      <x:c r="H176" s="15" t="n">
        <x:v>175</x:v>
      </x:c>
      <x:c r="I176" s="18" t="n">
        <x:v>24.9</x:v>
      </x:c>
      <x:c r="J176" s="15" t="str">
        <x:v>Metformina XR 500 mg 2x/dia; Levotiroxina 75 mcg/dia</x:v>
      </x:c>
      <x:c r="K176" s="15" t="str">
        <x:v>Não</x:v>
      </x:c>
      <x:c r="L176" s="15" t="str">
        <x:v>Não</x:v>
      </x:c>
      <x:c r="M176" s="22" t="n">
        <x:v>46236</x:v>
      </x:c>
      <x:c r="N176" s="15" t="str">
        <x:v>Retorna para seguimento de diabetes mellitus tipo 2. 52 anos, sexo F. Refere adesão parcial às medidas não farmacológicas. Exames recentes: HbA1c 9.0%, glicemia de jejum 175 mg/dL, creatinina 0.97 mg/dL. IMC 24.9 kg/m². Em uso de Metformina XR 500 mg 2x/dia; Levotiroxina 75 mcg/dia. Caso construído próximo a um ponto de corte do protocolo. Sem sintomas sugestivos de descompensação aguda. Mantida terapêutica atual até reavaliação.</x:v>
      </x:c>
      <x:c r="O176" s="15" t="str">
        <x:v>Limítrofe</x:v>
      </x:c>
      <x:c r="P176" s="15" t="str">
        <x:v>IMC mínimo — fora por pequena margem</x:v>
      </x:c>
      <x:c r="Q176" s="15" t="str">
        <x:f>IF(AND(B176&gt;=30,B176&lt;=70,F176&gt;=7,F176&lt;=10.5,G176&lt;=1.5,I176&gt;=25,I176&lt;=45,OR(ISNUMBER(SEARCH("diabetes",D176)),ISNUMBER(SEARCH("DM",D176))),ISNUMBER(SEARCH("metformina",J176)),K176="Não",L176="Não"),"Elegível","Não elegível")</x:f>
        <x:v>Não elegível</x:v>
      </x:c>
    </x:row>
    <x:row r="177" ht="54" customHeight="1">
      <x:c r="A177" s="15" t="str">
        <x:v>PAC-176</x:v>
      </x:c>
      <x:c r="B177" s="15" t="n">
        <x:v>30</x:v>
      </x:c>
      <x:c r="C177" s="15" t="str">
        <x:v>F</x:v>
      </x:c>
      <x:c r="D177" s="15" t="str">
        <x:v>Diabetes tipo 2</x:v>
      </x:c>
      <x:c r="E177" s="15" t="str">
        <x:v>Hipertensão arterial sistêmica</x:v>
      </x:c>
      <x:c r="F177" s="18" t="n">
        <x:v>9.7</x:v>
      </x:c>
      <x:c r="G177" s="20" t="n">
        <x:v>0.82</x:v>
      </x:c>
      <x:c r="H177" s="15" t="n">
        <x:v>192</x:v>
      </x:c>
      <x:c r="I177" s="18" t="n">
        <x:v>36.3</x:v>
      </x:c>
      <x:c r="J177" s="15" t="str">
        <x:v>Metformina XR 500 mg 2x/dia; Amlodipino 5 mg/dia</x:v>
      </x:c>
      <x:c r="K177" s="15" t="str">
        <x:v>Não</x:v>
      </x:c>
      <x:c r="L177" s="15" t="str">
        <x:v>Não</x:v>
      </x:c>
      <x:c r="M177" s="22" t="n">
        <x:v>46226</x:v>
      </x:c>
      <x:c r="N177" s="15" t="str">
        <x:v>Em consulta de rotina para controle metabólico. 30 anos, sexo F. Informa uso irregular da dieta, porém mantém as medicações. Exames recentes: HbA1c 9.7%, glicemia de jejum 192 mg/dL, creatinina 0.82 mg/dL. IMC 36.3 kg/m². Em uso de Metformina XR 500 mg 2x/dia; Amlodipino 5 mg/dia. Caso construído próximo a um ponto de corte do protocolo. Sem queixas agudas no momento. Mantido acompanhamento e reforçadas medidas de estilo de vida.</x:v>
      </x:c>
      <x:c r="O177" s="15" t="str">
        <x:v>Limítrofe</x:v>
      </x:c>
      <x:c r="P177" s="15" t="str">
        <x:v>Idade mínima — dentro por pequena margem</x:v>
      </x:c>
      <x:c r="Q177" s="15" t="str">
        <x:f>IF(AND(B177&gt;=30,B177&lt;=70,F177&gt;=7,F177&lt;=10.5,G177&lt;=1.5,I177&gt;=25,I177&lt;=45,OR(ISNUMBER(SEARCH("diabetes",D177)),ISNUMBER(SEARCH("DM",D177))),ISNUMBER(SEARCH("metformina",J177)),K177="Não",L177="Não"),"Elegível","Não elegível")</x:f>
        <x:v>Elegível</x:v>
      </x:c>
    </x:row>
    <x:row r="178" ht="54" customHeight="1">
      <x:c r="A178" s="15" t="str">
        <x:v>PAC-177</x:v>
      </x:c>
      <x:c r="B178" s="15" t="n">
        <x:v>69</x:v>
      </x:c>
      <x:c r="C178" s="15" t="str">
        <x:v>M</x:v>
      </x:c>
      <x:c r="D178" s="15" t="str">
        <x:v>Diabetes mellitus tipo II</x:v>
      </x:c>
      <x:c r="E178" s="15" t="str">
        <x:v>Obesidade</x:v>
      </x:c>
      <x:c r="F178" s="18" t="n">
        <x:v>7.3</x:v>
      </x:c>
      <x:c r="G178" s="20" t="n">
        <x:v>1.15</x:v>
      </x:c>
      <x:c r="H178" s="15" t="n">
        <x:v>159</x:v>
      </x:c>
      <x:c r="I178" s="18" t="n">
        <x:v>42.1</x:v>
      </x:c>
      <x:c r="J178" s="15" t="str">
        <x:v>Metformina 850 mg manhã e noite; Sinvastatina 20 mg à noite</x:v>
      </x:c>
      <x:c r="K178" s="15" t="str">
        <x:v>Não</x:v>
      </x:c>
      <x:c r="L178" s="15" t="str">
        <x:v>Não</x:v>
      </x:c>
      <x:c r="M178" s="22" t="n">
        <x:v>46134</x:v>
      </x:c>
      <x:c r="N178" s="15" t="str">
        <x:v>Retorna para seguimento de diabetes mellitus tipo 2. 69 anos, sexo M. Relata boa adesão ao tratamento prescrito. Exames recentes: HbA1c 7.3%, glicemia de jejum 159 mg/dL, creatinina 1.15 mg/dL. IMC 42.1 kg/m². Em uso de Metformina 850 mg manhã e noite; Sinvastatina 20 mg à noite. Caso construído próximo a um ponto de corte do protocolo. Sem sintomas sugestivos de descompensação aguda. Mantida terapêutica atual até reavaliação.</x:v>
      </x:c>
      <x:c r="O178" s="15" t="str">
        <x:v>Limítrofe</x:v>
      </x:c>
      <x:c r="P178" s="15" t="str">
        <x:v>Idade máxima — dentro por pequena margem</x:v>
      </x:c>
      <x:c r="Q178" s="15" t="str">
        <x:f>IF(AND(B178&gt;=30,B178&lt;=70,F178&gt;=7,F178&lt;=10.5,G178&lt;=1.5,I178&gt;=25,I178&lt;=45,OR(ISNUMBER(SEARCH("diabetes",D178)),ISNUMBER(SEARCH("DM",D178))),ISNUMBER(SEARCH("metformina",J178)),K178="Não",L178="Não"),"Elegível","Não elegível")</x:f>
        <x:v>Elegível</x:v>
      </x:c>
    </x:row>
    <x:row r="179" ht="54" customHeight="1">
      <x:c r="A179" s="15" t="str">
        <x:v>PAC-178</x:v>
      </x:c>
      <x:c r="B179" s="15" t="n">
        <x:v>62</x:v>
      </x:c>
      <x:c r="C179" s="15" t="str">
        <x:v>F</x:v>
      </x:c>
      <x:c r="D179" s="15" t="str">
        <x:v>Diabetes mellitus tipo II</x:v>
      </x:c>
      <x:c r="E179" s="15" t="str">
        <x:v>Hipertensão arterial sistêmica</x:v>
      </x:c>
      <x:c r="F179" s="18" t="n">
        <x:v>8.8</x:v>
      </x:c>
      <x:c r="G179" s="20" t="n">
        <x:v>0.76</x:v>
      </x:c>
      <x:c r="H179" s="15" t="n">
        <x:v>163</x:v>
      </x:c>
      <x:c r="I179" s="18" t="n">
        <x:v>45</x:v>
      </x:c>
      <x:c r="J179" s="15" t="str">
        <x:v>Metformina 850 mg manhã e noite; Levotiroxina 75 mcg/dia</x:v>
      </x:c>
      <x:c r="K179" s="15" t="str">
        <x:v>Não</x:v>
      </x:c>
      <x:c r="L179" s="15" t="str">
        <x:v>Não</x:v>
      </x:c>
      <x:c r="M179" s="22" t="n">
        <x:v>46157</x:v>
      </x:c>
      <x:c r="N179" s="15" t="str">
        <x:v>Reavaliação clínica de paciente com diabetes tipo 2. 62 anos, sexo F. Informa uso irregular da dieta, porém mantém as medicações. Exames recentes: HbA1c 8.8%, glicemia de jejum 163 mg/dL, creatinina 0.76 mg/dL. IMC 45.0 kg/m². Em uso de Metformina 850 mg manhã e noite; Levotiroxina 75 mcg/dia. Caso construído próximo a um ponto de corte do protocolo. Clinicamente estável, sem intercorrências recentes. Mantida terapêutica atual até reavaliação.</x:v>
      </x:c>
      <x:c r="O179" s="15" t="str">
        <x:v>Limítrofe</x:v>
      </x:c>
      <x:c r="P179" s="15" t="str">
        <x:v>IMC máximo — dentro por pequena margem</x:v>
      </x:c>
      <x:c r="Q179" s="15" t="str">
        <x:f>IF(AND(B179&gt;=30,B179&lt;=70,F179&gt;=7,F179&lt;=10.5,G179&lt;=1.5,I179&gt;=25,I179&lt;=45,OR(ISNUMBER(SEARCH("diabetes",D179)),ISNUMBER(SEARCH("DM",D179))),ISNUMBER(SEARCH("metformina",J179)),K179="Não",L179="Não"),"Elegível","Não elegível")</x:f>
        <x:v>Elegível</x:v>
      </x:c>
    </x:row>
    <x:row r="180" ht="54" customHeight="1">
      <x:c r="A180" s="15" t="str">
        <x:v>PAC-179</x:v>
      </x:c>
      <x:c r="B180" s="15" t="n">
        <x:v>56</x:v>
      </x:c>
      <x:c r="C180" s="15" t="str">
        <x:v>F</x:v>
      </x:c>
      <x:c r="D180" s="15" t="str">
        <x:v>DM tipo II</x:v>
      </x:c>
      <x:c r="E180" s="15" t="str">
        <x:v>Obesidade</x:v>
      </x:c>
      <x:c r="F180" s="18" t="n">
        <x:v>7.3</x:v>
      </x:c>
      <x:c r="G180" s="20" t="n">
        <x:v>1.51</x:v>
      </x:c>
      <x:c r="H180" s="15" t="n">
        <x:v>159</x:v>
      </x:c>
      <x:c r="I180" s="18" t="n">
        <x:v>41.4</x:v>
      </x:c>
      <x:c r="J180" s="15" t="str">
        <x:v>Metformina 850 mg manhã e noite; Amlodipino 5 mg/dia</x:v>
      </x:c>
      <x:c r="K180" s="15" t="str">
        <x:v>Não</x:v>
      </x:c>
      <x:c r="L180" s="15" t="str">
        <x:v>Não</x:v>
      </x:c>
      <x:c r="M180" s="22" t="n">
        <x:v>46208</x:v>
      </x:c>
      <x:c r="N180" s="15" t="str">
        <x:v>Em consulta de rotina para controle metabólico. 56 anos, sexo F. Informa uso irregular da dieta, porém mantém as medicações. Exames recentes: HbA1c 7.3%, glicemia de jejum 159 mg/dL, creatinina 1.51 mg/dL. IMC 41.4 kg/m². Em uso de Metformina 850 mg manhã e noite; Amlodipino 5 mg/dia. Caso construído próximo a um ponto de corte do protocolo. Nega hipoglicemias sintomáticas. Programado retorno com novos exames laboratoriais.</x:v>
      </x:c>
      <x:c r="O180" s="15" t="str">
        <x:v>Limítrofe</x:v>
      </x:c>
      <x:c r="P180" s="15" t="str">
        <x:v>Creatinina próxima do limite — fora por pequena margem</x:v>
      </x:c>
      <x:c r="Q180" s="15" t="str">
        <x:f>IF(AND(B180&gt;=30,B180&lt;=70,F180&gt;=7,F180&lt;=10.5,G180&lt;=1.5,I180&gt;=25,I180&lt;=45,OR(ISNUMBER(SEARCH("diabetes",D180)),ISNUMBER(SEARCH("DM",D180))),ISNUMBER(SEARCH("metformina",J180)),K180="Não",L180="Não"),"Elegível","Não elegível")</x:f>
        <x:v>Não elegível</x:v>
      </x:c>
    </x:row>
    <x:row r="181" ht="54" customHeight="1">
      <x:c r="A181" s="15" t="str">
        <x:v>PAC-180</x:v>
      </x:c>
      <x:c r="B181" s="15" t="n">
        <x:v>31</x:v>
      </x:c>
      <x:c r="C181" s="15" t="str">
        <x:v>M</x:v>
      </x:c>
      <x:c r="D181" s="15" t="str">
        <x:v>DM2</x:v>
      </x:c>
      <x:c r="E181" s="15" t="str">
        <x:v>Obesidade; Hipertensão arterial sistêmica</x:v>
      </x:c>
      <x:c r="F181" s="18" t="n">
        <x:v>10</x:v>
      </x:c>
      <x:c r="G181" s="20" t="n">
        <x:v>0.85</x:v>
      </x:c>
      <x:c r="H181" s="15" t="n">
        <x:v>182</x:v>
      </x:c>
      <x:c r="I181" s="18" t="n">
        <x:v>35.4</x:v>
      </x:c>
      <x:c r="J181" s="15" t="str">
        <x:v>Metformina XR 1.000 mg à noite; Losartana 50 mg 2x/dia</x:v>
      </x:c>
      <x:c r="K181" s="15" t="str">
        <x:v>Não</x:v>
      </x:c>
      <x:c r="L181" s="15" t="str">
        <x:v>Não</x:v>
      </x:c>
      <x:c r="M181" s="22" t="n">
        <x:v>46048</x:v>
      </x:c>
      <x:c r="N181" s="15" t="str">
        <x:v>Paciente em acompanhamento ambulatorial por DM2. 31 anos, sexo M. Refere adesão parcial às medidas não farmacológicas. Exames recentes: HbA1c 10.0%, glicemia de jejum 182 mg/dL, creatinina 0.85 mg/dL. IMC 35.4 kg/m². Em uso de Metformina XR 1.000 mg à noite; Losartana 50 mg 2x/dia. Caso construído próximo a um ponto de corte do protocolo. Nega poliúria, polidipsia ou perda ponderal recente. Reforçadas orientações dietéticas e de atividade física.</x:v>
      </x:c>
      <x:c r="O181" s="15" t="str">
        <x:v>Limítrofe</x:v>
      </x:c>
      <x:c r="P181" s="15" t="str">
        <x:v>Idade mínima — dentro por pequena margem</x:v>
      </x:c>
      <x:c r="Q181" s="15" t="str">
        <x:f>IF(AND(B181&gt;=30,B181&lt;=70,F181&gt;=7,F181&lt;=10.5,G181&lt;=1.5,I181&gt;=25,I181&lt;=45,OR(ISNUMBER(SEARCH("diabetes",D181)),ISNUMBER(SEARCH("DM",D181))),ISNUMBER(SEARCH("metformina",J181)),K181="Não",L181="Não"),"Elegível","Não elegível")</x:f>
        <x:v>Elegível</x:v>
      </x:c>
    </x:row>
    <x:row r="182" ht="54" customHeight="1">
      <x:c r="A182" s="15" t="str">
        <x:v>PAC-181</x:v>
      </x:c>
      <x:c r="B182" s="15" t="n">
        <x:v>35</x:v>
      </x:c>
      <x:c r="C182" s="15" t="str">
        <x:v>F</x:v>
      </x:c>
      <x:c r="D182" s="15" t="str">
        <x:v>DM tipo II</x:v>
      </x:c>
      <x:c r="E182" s="15" t="str">
        <x:v>Osteoartrite de joelhos</x:v>
      </x:c>
      <x:c r="F182" s="18" t="n">
        <x:v>7.1</x:v>
      </x:c>
      <x:c r="G182" s="20" t="n">
        <x:v>1.24</x:v>
      </x:c>
      <x:c r="H182" s="15" t="n">
        <x:v>161</x:v>
      </x:c>
      <x:c r="I182" s="18" t="n">
        <x:v>33.5</x:v>
      </x:c>
      <x:c r="J182" s="15" t="str">
        <x:v>Metformina 850 mg 2x/dia; Sinvastatina 20 mg à noite</x:v>
      </x:c>
      <x:c r="K182" s="15" t="str">
        <x:v>Não</x:v>
      </x:c>
      <x:c r="L182" s="15" t="str">
        <x:v>Não</x:v>
      </x:c>
      <x:c r="M182" s="22" t="n">
        <x:v>46093</x:v>
      </x:c>
      <x:c r="N182" s="15" t="str">
        <x:v>Retorna para seguimento de diabetes mellitus tipo 2. 35 anos, sexo F. Nega interrupção recente das medicações. Exames recentes: HbA1c 7.1%, glicemia de jejum 161 mg/dL, creatinina 1.24 mg/dL. IMC 33.5 kg/m². Em uso de Metformina 850 mg 2x/dia; Sinvastatina 20 mg à noite. Caso construído próximo a um ponto de corte do protocolo. Sem sintomas sugestivos de descompensação aguda. Programado retorno com novos exames laboratoriais.</x:v>
      </x:c>
      <x:c r="O182" s="15" t="str">
        <x:v>Limítrofe</x:v>
      </x:c>
      <x:c r="P182" s="15" t="str">
        <x:v>HbA1c mínima — dentro por pequena margem</x:v>
      </x:c>
      <x:c r="Q182" s="15" t="str">
        <x:f>IF(AND(B182&gt;=30,B182&lt;=70,F182&gt;=7,F182&lt;=10.5,G182&lt;=1.5,I182&gt;=25,I182&lt;=45,OR(ISNUMBER(SEARCH("diabetes",D182)),ISNUMBER(SEARCH("DM",D182))),ISNUMBER(SEARCH("metformina",J182)),K182="Não",L182="Não"),"Elegível","Não elegível")</x:f>
        <x:v>Elegível</x:v>
      </x:c>
    </x:row>
    <x:row r="183" ht="54" customHeight="1">
      <x:c r="A183" s="15" t="str">
        <x:v>PAC-182</x:v>
      </x:c>
      <x:c r="B183" s="15" t="n">
        <x:v>39</x:v>
      </x:c>
      <x:c r="C183" s="15" t="str">
        <x:v>F</x:v>
      </x:c>
      <x:c r="D183" s="15" t="str">
        <x:v>DM tipo II</x:v>
      </x:c>
      <x:c r="E183" s="15" t="str">
        <x:v>Hipotireoidismo</x:v>
      </x:c>
      <x:c r="F183" s="18" t="n">
        <x:v>10</x:v>
      </x:c>
      <x:c r="G183" s="20" t="n">
        <x:v>1.32</x:v>
      </x:c>
      <x:c r="H183" s="15" t="n">
        <x:v>176</x:v>
      </x:c>
      <x:c r="I183" s="18" t="n">
        <x:v>25.1</x:v>
      </x:c>
      <x:c r="J183" s="15" t="str">
        <x:v>Metformina 1.000 mg 2x/dia; Sinvastatina 20 mg à noite</x:v>
      </x:c>
      <x:c r="K183" s="15" t="str">
        <x:v>Não</x:v>
      </x:c>
      <x:c r="L183" s="15" t="str">
        <x:v>Não</x:v>
      </x:c>
      <x:c r="M183" s="22" t="n">
        <x:v>46232</x:v>
      </x:c>
      <x:c r="N183" s="15" t="str">
        <x:v>Retorna para seguimento de diabetes mellitus tipo 2. 39 anos, sexo F. Refere uso regular das medicações. Exames recentes: HbA1c 10.0%, glicemia de jejum 176 mg/dL, creatinina 1.32 mg/dL. IMC 25.1 kg/m². Em uso de Metformina 1.000 mg 2x/dia; Sinvastatina 20 mg à noite. Caso construído próximo a um ponto de corte do protocolo. Nega poliúria, polidipsia ou perda ponderal recente. Orientada manutenção do seguimento e controle laboratorial.</x:v>
      </x:c>
      <x:c r="O183" s="15" t="str">
        <x:v>Limítrofe</x:v>
      </x:c>
      <x:c r="P183" s="15" t="str">
        <x:v>IMC mínimo — dentro por pequena margem</x:v>
      </x:c>
      <x:c r="Q183" s="15" t="str">
        <x:f>IF(AND(B183&gt;=30,B183&lt;=70,F183&gt;=7,F183&lt;=10.5,G183&lt;=1.5,I183&gt;=25,I183&lt;=45,OR(ISNUMBER(SEARCH("diabetes",D183)),ISNUMBER(SEARCH("DM",D183))),ISNUMBER(SEARCH("metformina",J183)),K183="Não",L183="Não"),"Elegível","Não elegível")</x:f>
        <x:v>Elegível</x:v>
      </x:c>
    </x:row>
    <x:row r="184" ht="54" customHeight="1">
      <x:c r="A184" s="15" t="str">
        <x:v>PAC-183</x:v>
      </x:c>
      <x:c r="B184" s="15" t="n">
        <x:v>66</x:v>
      </x:c>
      <x:c r="C184" s="15" t="str">
        <x:v>F</x:v>
      </x:c>
      <x:c r="D184" s="15" t="str">
        <x:v>Diabetes tipo 2</x:v>
      </x:c>
      <x:c r="E184" s="15" t="str">
        <x:v>Esteatose hepática</x:v>
      </x:c>
      <x:c r="F184" s="18" t="n">
        <x:v>8.5</x:v>
      </x:c>
      <x:c r="G184" s="20" t="n">
        <x:v>1.51</x:v>
      </x:c>
      <x:c r="H184" s="15" t="n">
        <x:v>177</x:v>
      </x:c>
      <x:c r="I184" s="18" t="n">
        <x:v>36.8</x:v>
      </x:c>
      <x:c r="J184" s="15" t="str">
        <x:v>Metformina 500 mg 2x/dia</x:v>
      </x:c>
      <x:c r="K184" s="15" t="str">
        <x:v>Não</x:v>
      </x:c>
      <x:c r="L184" s="15" t="str">
        <x:v>Não</x:v>
      </x:c>
      <x:c r="M184" s="22" t="n">
        <x:v>46137</x:v>
      </x:c>
      <x:c r="N184" s="15" t="str">
        <x:v>Paciente em acompanhamento ambulatorial por DM2. 66 anos, sexo F. Refere adesão parcial às medidas não farmacológicas. Exames recentes: HbA1c 8.5%, glicemia de jejum 177 mg/dL, creatinina 1.51 mg/dL. IMC 36.8 kg/m². Em uso de Metformina 500 mg 2x/dia. Caso construído próximo a um ponto de corte do protocolo. Sem queixas agudas no momento. Reforçadas orientações dietéticas e de atividade física.</x:v>
      </x:c>
      <x:c r="O184" s="15" t="str">
        <x:v>Limítrofe</x:v>
      </x:c>
      <x:c r="P184" s="15" t="str">
        <x:v>Creatinina próxima do limite — fora por pequena margem</x:v>
      </x:c>
      <x:c r="Q184" s="15" t="str">
        <x:f>IF(AND(B184&gt;=30,B184&lt;=70,F184&gt;=7,F184&lt;=10.5,G184&lt;=1.5,I184&gt;=25,I184&lt;=45,OR(ISNUMBER(SEARCH("diabetes",D184)),ISNUMBER(SEARCH("DM",D184))),ISNUMBER(SEARCH("metformina",J184)),K184="Não",L184="Não"),"Elegível","Não elegível")</x:f>
        <x:v>Não elegível</x:v>
      </x:c>
    </x:row>
    <x:row r="185" ht="54" customHeight="1">
      <x:c r="A185" s="15" t="str">
        <x:v>PAC-184</x:v>
      </x:c>
      <x:c r="B185" s="15" t="n">
        <x:v>50</x:v>
      </x:c>
      <x:c r="C185" s="15" t="str">
        <x:v>M</x:v>
      </x:c>
      <x:c r="D185" s="15" t="str">
        <x:v>Diabetes mellitus tipo II</x:v>
      </x:c>
      <x:c r="E185" s="15" t="str">
        <x:v>Doença do refluxo gastroesofágico</x:v>
      </x:c>
      <x:c r="F185" s="18" t="n">
        <x:v>7</x:v>
      </x:c>
      <x:c r="G185" s="20" t="n">
        <x:v>0.76</x:v>
      </x:c>
      <x:c r="H185" s="15" t="n">
        <x:v>156</x:v>
      </x:c>
      <x:c r="I185" s="18" t="n">
        <x:v>30.5</x:v>
      </x:c>
      <x:c r="J185" s="15" t="str">
        <x:v>Metformina XR 500 mg 2x/dia; Atorvastatina 20 mg à noite</x:v>
      </x:c>
      <x:c r="K185" s="15" t="str">
        <x:v>Não</x:v>
      </x:c>
      <x:c r="L185" s="15" t="str">
        <x:v>Não</x:v>
      </x:c>
      <x:c r="M185" s="22" t="n">
        <x:v>46224</x:v>
      </x:c>
      <x:c r="N185" s="15" t="str">
        <x:v>Retorna para seguimento de diabetes mellitus tipo 2. 50 anos, sexo M. Nega interrupção recente das medicações. Exames recentes: HbA1c 7.0%, glicemia de jejum 156 mg/dL, creatinina 0.76 mg/dL. IMC 30.5 kg/m². Em uso de Metformina XR 500 mg 2x/dia; Atorvastatina 20 mg à noite. Caso construído próximo a um ponto de corte do protocolo. Nega hipoglicemias sintomáticas. Reforçadas orientações dietéticas e de atividade física.</x:v>
      </x:c>
      <x:c r="O185" s="15" t="str">
        <x:v>Limítrofe</x:v>
      </x:c>
      <x:c r="P185" s="15" t="str">
        <x:v>HbA1c mínima — dentro por pequena margem</x:v>
      </x:c>
      <x:c r="Q185" s="15" t="str">
        <x:f>IF(AND(B185&gt;=30,B185&lt;=70,F185&gt;=7,F185&lt;=10.5,G185&lt;=1.5,I185&gt;=25,I185&lt;=45,OR(ISNUMBER(SEARCH("diabetes",D185)),ISNUMBER(SEARCH("DM",D185))),ISNUMBER(SEARCH("metformina",J185)),K185="Não",L185="Não"),"Elegível","Não elegível")</x:f>
        <x:v>Elegível</x:v>
      </x:c>
    </x:row>
    <x:row r="186" ht="54" customHeight="1">
      <x:c r="A186" s="15" t="str">
        <x:v>PAC-185</x:v>
      </x:c>
      <x:c r="B186" s="15" t="n">
        <x:v>41</x:v>
      </x:c>
      <x:c r="C186" s="15" t="str">
        <x:v>M</x:v>
      </x:c>
      <x:c r="D186" s="15" t="str">
        <x:v>Diabetes mellitus tipo II</x:v>
      </x:c>
      <x:c r="E186" s="15" t="str">
        <x:v>Hipertensão arterial sistêmica</x:v>
      </x:c>
      <x:c r="F186" s="18" t="n">
        <x:v>10.6</x:v>
      </x:c>
      <x:c r="G186" s="20" t="n">
        <x:v>1.33</x:v>
      </x:c>
      <x:c r="H186" s="15" t="n">
        <x:v>179</x:v>
      </x:c>
      <x:c r="I186" s="18" t="n">
        <x:v>35</x:v>
      </x:c>
      <x:c r="J186" s="15" t="str">
        <x:v>Metformina XR 500 mg 2x/dia; Sinvastatina 20 mg à noite</x:v>
      </x:c>
      <x:c r="K186" s="15" t="str">
        <x:v>Não</x:v>
      </x:c>
      <x:c r="L186" s="15" t="str">
        <x:v>Não</x:v>
      </x:c>
      <x:c r="M186" s="22" t="n">
        <x:v>46165</x:v>
      </x:c>
      <x:c r="N186" s="15" t="str">
        <x:v>Reavaliação clínica de paciente com diabetes tipo 2. 41 anos, sexo M. Relata boa adesão ao tratamento prescrito. Exames recentes: HbA1c 10.6%, glicemia de jejum 179 mg/dL, creatinina 1.33 mg/dL. IMC 35.0 kg/m². Em uso de Metformina XR 500 mg 2x/dia; Sinvastatina 20 mg à noite. Caso construído próximo a um ponto de corte do protocolo. Sem queixas agudas no momento. Mantido acompanhamento e reforçadas medidas de estilo de vida.</x:v>
      </x:c>
      <x:c r="O186" s="15" t="str">
        <x:v>Limítrofe</x:v>
      </x:c>
      <x:c r="P186" s="15" t="str">
        <x:v>HbA1c máxima — fora por pequena margem</x:v>
      </x:c>
      <x:c r="Q186" s="15" t="str">
        <x:f>IF(AND(B186&gt;=30,B186&lt;=70,F186&gt;=7,F186&lt;=10.5,G186&lt;=1.5,I186&gt;=25,I186&lt;=45,OR(ISNUMBER(SEARCH("diabetes",D186)),ISNUMBER(SEARCH("DM",D186))),ISNUMBER(SEARCH("metformina",J186)),K186="Não",L186="Não"),"Elegível","Não elegível")</x:f>
        <x:v>Não elegível</x:v>
      </x:c>
    </x:row>
    <x:row r="187" ht="54" customHeight="1">
      <x:c r="A187" s="15" t="str">
        <x:v>PAC-186</x:v>
      </x:c>
      <x:c r="B187" s="15" t="n">
        <x:v>59</x:v>
      </x:c>
      <x:c r="C187" s="15" t="str">
        <x:v>M</x:v>
      </x:c>
      <x:c r="D187" s="15" t="str">
        <x:v>Diabetes tipo 2</x:v>
      </x:c>
      <x:c r="E187" s="15" t="str">
        <x:v>Doença do refluxo gastroesofágico</x:v>
      </x:c>
      <x:c r="F187" s="18" t="n">
        <x:v>10.6</x:v>
      </x:c>
      <x:c r="G187" s="20" t="n">
        <x:v>1.07</x:v>
      </x:c>
      <x:c r="H187" s="15" t="n">
        <x:v>199</x:v>
      </x:c>
      <x:c r="I187" s="18" t="n">
        <x:v>27</x:v>
      </x:c>
      <x:c r="J187" s="15" t="str">
        <x:v>Metformina 850 mg manhã e noite; Losartana 50 mg/dia; Atorvastatina 20 mg/noite</x:v>
      </x:c>
      <x:c r="K187" s="15" t="str">
        <x:v>Não</x:v>
      </x:c>
      <x:c r="L187" s="15" t="str">
        <x:v>Não</x:v>
      </x:c>
      <x:c r="M187" s="22" t="n">
        <x:v>46255</x:v>
      </x:c>
      <x:c r="N187" s="15" t="str">
        <x:v>Retorna para seguimento de diabetes mellitus tipo 2. 59 anos, sexo M. Informa uso irregular da dieta, porém mantém as medicações. Exames recentes: HbA1c 10.6%, glicemia de jejum 199 mg/dL, creatinina 1.07 mg/dL. IMC 27.0 kg/m². Em uso de Metformina 850 mg manhã e noite; Losartana 50 mg/dia; Atorvastatina 20 mg/noite. Caso construído próximo a um ponto de corte do protocolo. Nega poliúria, polidipsia ou perda ponderal recente. Programado retorno com novos exames laboratoriais.</x:v>
      </x:c>
      <x:c r="O187" s="15" t="str">
        <x:v>Limítrofe</x:v>
      </x:c>
      <x:c r="P187" s="15" t="str">
        <x:v>HbA1c máxima — fora por pequena margem</x:v>
      </x:c>
      <x:c r="Q187" s="15" t="str">
        <x:f>IF(AND(B187&gt;=30,B187&lt;=70,F187&gt;=7,F187&lt;=10.5,G187&lt;=1.5,I187&gt;=25,I187&lt;=45,OR(ISNUMBER(SEARCH("diabetes",D187)),ISNUMBER(SEARCH("DM",D187))),ISNUMBER(SEARCH("metformina",J187)),K187="Não",L187="Não"),"Elegível","Não elegível")</x:f>
        <x:v>Não elegível</x:v>
      </x:c>
    </x:row>
    <x:row r="188" ht="54" customHeight="1">
      <x:c r="A188" s="15" t="str">
        <x:v>PAC-187</x:v>
      </x:c>
      <x:c r="B188" s="15" t="n">
        <x:v>63</x:v>
      </x:c>
      <x:c r="C188" s="15" t="str">
        <x:v>M</x:v>
      </x:c>
      <x:c r="D188" s="15" t="str">
        <x:v>DM tipo II</x:v>
      </x:c>
      <x:c r="E188" s="15" t="str">
        <x:v>Obesidade; Hipertensão arterial sistêmica</x:v>
      </x:c>
      <x:c r="F188" s="18" t="n">
        <x:v>8.9</x:v>
      </x:c>
      <x:c r="G188" s="20" t="n">
        <x:v>0.73</x:v>
      </x:c>
      <x:c r="H188" s="15" t="n">
        <x:v>181</x:v>
      </x:c>
      <x:c r="I188" s="18" t="n">
        <x:v>24.9</x:v>
      </x:c>
      <x:c r="J188" s="15" t="str">
        <x:v>Metformina 850 mg manhã e noite; Sinvastatina 20 mg à noite</x:v>
      </x:c>
      <x:c r="K188" s="15" t="str">
        <x:v>Não</x:v>
      </x:c>
      <x:c r="L188" s="15" t="str">
        <x:v>Não</x:v>
      </x:c>
      <x:c r="M188" s="22" t="n">
        <x:v>46097</x:v>
      </x:c>
      <x:c r="N188" s="15" t="str">
        <x:v>Paciente em acompanhamento ambulatorial por DM2. 63 anos, sexo M. Informa uso irregular da dieta, porém mantém as medicações. Exames recentes: HbA1c 8.9%, glicemia de jejum 181 mg/dL, creatinina 0.73 mg/dL. IMC 24.9 kg/m². Em uso de Metformina 850 mg manhã e noite; Sinvastatina 20 mg à noite. Caso construído próximo a um ponto de corte do protocolo. Nega poliúria, polidipsia ou perda ponderal recente. Reforçadas orientações dietéticas e de atividade física.</x:v>
      </x:c>
      <x:c r="O188" s="15" t="str">
        <x:v>Limítrofe</x:v>
      </x:c>
      <x:c r="P188" s="15" t="str">
        <x:v>IMC mínimo — fora por pequena margem</x:v>
      </x:c>
      <x:c r="Q188" s="15" t="str">
        <x:f>IF(AND(B188&gt;=30,B188&lt;=70,F188&gt;=7,F188&lt;=10.5,G188&lt;=1.5,I188&gt;=25,I188&lt;=45,OR(ISNUMBER(SEARCH("diabetes",D188)),ISNUMBER(SEARCH("DM",D188))),ISNUMBER(SEARCH("metformina",J188)),K188="Não",L188="Não"),"Elegível","Não elegível")</x:f>
        <x:v>Não elegível</x:v>
      </x:c>
    </x:row>
    <x:row r="189" ht="54" customHeight="1">
      <x:c r="A189" s="15" t="str">
        <x:v>PAC-188</x:v>
      </x:c>
      <x:c r="B189" s="15" t="n">
        <x:v>47</x:v>
      </x:c>
      <x:c r="C189" s="15" t="str">
        <x:v>M</x:v>
      </x:c>
      <x:c r="D189" s="15" t="str">
        <x:v>DM tipo II</x:v>
      </x:c>
      <x:c r="E189" s="15" t="str">
        <x:v>Hipotireoidismo</x:v>
      </x:c>
      <x:c r="F189" s="18" t="n">
        <x:v>7.3</x:v>
      </x:c>
      <x:c r="G189" s="20" t="n">
        <x:v>1.12</x:v>
      </x:c>
      <x:c r="H189" s="15" t="n">
        <x:v>148</x:v>
      </x:c>
      <x:c r="I189" s="18" t="n">
        <x:v>45.1</x:v>
      </x:c>
      <x:c r="J189" s="15" t="str">
        <x:v>Metformina 1.000 mg 2x/dia</x:v>
      </x:c>
      <x:c r="K189" s="15" t="str">
        <x:v>Não</x:v>
      </x:c>
      <x:c r="L189" s="15" t="str">
        <x:v>Não</x:v>
      </x:c>
      <x:c r="M189" s="22" t="n">
        <x:v>46129</x:v>
      </x:c>
      <x:c r="N189" s="15" t="str">
        <x:v>Em consulta de rotina para controle metabólico. 47 anos, sexo M. Relata boa adesão ao tratamento prescrito. Exames recentes: HbA1c 7.3%, glicemia de jejum 148 mg/dL, creatinina 1.12 mg/dL. IMC 45.1 kg/m². Em uso de Metformina 1.000 mg 2x/dia. Caso construído próximo a um ponto de corte do protocolo. Sem queixas agudas no momento. Orientada manutenção do seguimento e controle laboratorial.</x:v>
      </x:c>
      <x:c r="O189" s="15" t="str">
        <x:v>Limítrofe</x:v>
      </x:c>
      <x:c r="P189" s="15" t="str">
        <x:v>IMC máximo — fora por pequena margem</x:v>
      </x:c>
      <x:c r="Q189" s="15" t="str">
        <x:f>IF(AND(B189&gt;=30,B189&lt;=70,F189&gt;=7,F189&lt;=10.5,G189&lt;=1.5,I189&gt;=25,I189&lt;=45,OR(ISNUMBER(SEARCH("diabetes",D189)),ISNUMBER(SEARCH("DM",D189))),ISNUMBER(SEARCH("metformina",J189)),K189="Não",L189="Não"),"Elegível","Não elegível")</x:f>
        <x:v>Não elegível</x:v>
      </x:c>
    </x:row>
    <x:row r="190" ht="54" customHeight="1">
      <x:c r="A190" s="15" t="str">
        <x:v>PAC-189</x:v>
      </x:c>
      <x:c r="B190" s="15" t="n">
        <x:v>44</x:v>
      </x:c>
      <x:c r="C190" s="15" t="str">
        <x:v>M</x:v>
      </x:c>
      <x:c r="D190" s="15" t="str">
        <x:v>DM tipo II</x:v>
      </x:c>
      <x:c r="E190" s="15" t="str">
        <x:v>Obesidade</x:v>
      </x:c>
      <x:c r="F190" s="18" t="n">
        <x:v>7.9</x:v>
      </x:c>
      <x:c r="G190" s="20" t="n">
        <x:v>1.17</x:v>
      </x:c>
      <x:c r="H190" s="15" t="n">
        <x:v>156</x:v>
      </x:c>
      <x:c r="I190" s="18" t="n">
        <x:v>45</x:v>
      </x:c>
      <x:c r="J190" s="15" t="str">
        <x:v>Metformina 850 mg manhã e noite</x:v>
      </x:c>
      <x:c r="K190" s="15" t="str">
        <x:v>Não</x:v>
      </x:c>
      <x:c r="L190" s="15" t="str">
        <x:v>Não</x:v>
      </x:c>
      <x:c r="M190" s="22" t="n">
        <x:v>46056</x:v>
      </x:c>
      <x:c r="N190" s="15" t="str">
        <x:v>Reavaliação clínica de paciente com diabetes tipo 2. 44 anos, sexo M. Refere uso regular das medicações. Exames recentes: HbA1c 7.9%, glicemia de jejum 156 mg/dL, creatinina 1.17 mg/dL. IMC 45.0 kg/m². Em uso de Metformina 850 mg manhã e noite. Caso construído próximo a um ponto de corte do protocolo. Nega hipoglicemias sintomáticas. Orientada manutenção do seguimento e controle laboratorial.</x:v>
      </x:c>
      <x:c r="O190" s="15" t="str">
        <x:v>Limítrofe</x:v>
      </x:c>
      <x:c r="P190" s="15" t="str">
        <x:v>IMC máximo — dentro por pequena margem</x:v>
      </x:c>
      <x:c r="Q190" s="15" t="str">
        <x:f>IF(AND(B190&gt;=30,B190&lt;=70,F190&gt;=7,F190&lt;=10.5,G190&lt;=1.5,I190&gt;=25,I190&lt;=45,OR(ISNUMBER(SEARCH("diabetes",D190)),ISNUMBER(SEARCH("DM",D190))),ISNUMBER(SEARCH("metformina",J190)),K190="Não",L190="Não"),"Elegível","Não elegível")</x:f>
        <x:v>Elegível</x:v>
      </x:c>
    </x:row>
    <x:row r="191" ht="54" customHeight="1">
      <x:c r="A191" s="15" t="str">
        <x:v>PAC-190</x:v>
      </x:c>
      <x:c r="B191" s="15" t="n">
        <x:v>29</x:v>
      </x:c>
      <x:c r="C191" s="15" t="str">
        <x:v>M</x:v>
      </x:c>
      <x:c r="D191" s="15" t="str">
        <x:v>Diabetes mellitus tipo II</x:v>
      </x:c>
      <x:c r="E191" s="15" t="str">
        <x:v>Sem comorbidades relevantes</x:v>
      </x:c>
      <x:c r="F191" s="18" t="n">
        <x:v>9.9</x:v>
      </x:c>
      <x:c r="G191" s="20" t="n">
        <x:v>1.11</x:v>
      </x:c>
      <x:c r="H191" s="15" t="n">
        <x:v>191</x:v>
      </x:c>
      <x:c r="I191" s="18" t="n">
        <x:v>27.5</x:v>
      </x:c>
      <x:c r="J191" s="15" t="str">
        <x:v>Metformina 500 mg 2x/dia; Levotiroxina 75 mcg/dia</x:v>
      </x:c>
      <x:c r="K191" s="15" t="str">
        <x:v>Não</x:v>
      </x:c>
      <x:c r="L191" s="15" t="str">
        <x:v>Não</x:v>
      </x:c>
      <x:c r="M191" s="22" t="n">
        <x:v>46193</x:v>
      </x:c>
      <x:c r="N191" s="15" t="str">
        <x:v>Paciente com diagnóstico prévio de DM2, em seguimento regular. 29 anos, sexo M. Relata boa adesão ao tratamento prescrito. Exames recentes: HbA1c 9.9%, glicemia de jejum 191 mg/dL, creatinina 1.11 mg/dL. IMC 27.5 kg/m². Em uso de Metformina 500 mg 2x/dia; Levotiroxina 75 mcg/dia. Caso construído próximo a um ponto de corte do protocolo. Clinicamente estável, sem intercorrências recentes. Programado retorno com novos exames laboratoriais.</x:v>
      </x:c>
      <x:c r="O191" s="15" t="str">
        <x:v>Limítrofe</x:v>
      </x:c>
      <x:c r="P191" s="15" t="str">
        <x:v>Idade mínima — fora por pequena margem</x:v>
      </x:c>
      <x:c r="Q191" s="15" t="str">
        <x:f>IF(AND(B191&gt;=30,B191&lt;=70,F191&gt;=7,F191&lt;=10.5,G191&lt;=1.5,I191&gt;=25,I191&lt;=45,OR(ISNUMBER(SEARCH("diabetes",D191)),ISNUMBER(SEARCH("DM",D191))),ISNUMBER(SEARCH("metformina",J191)),K191="Não",L191="Não"),"Elegível","Não elegível")</x:f>
        <x:v>Não elegível</x:v>
      </x:c>
    </x:row>
    <x:row r="192" ht="54" customHeight="1">
      <x:c r="A192" s="15" t="str">
        <x:v>PAC-191</x:v>
      </x:c>
      <x:c r="B192" s="15" t="n">
        <x:v>63</x:v>
      </x:c>
      <x:c r="C192" s="15" t="str">
        <x:v>F</x:v>
      </x:c>
      <x:c r="D192" s="15" t="str">
        <x:v>Diabetes mellitus tipo II</x:v>
      </x:c>
      <x:c r="E192" s="15" t="str">
        <x:v>Osteoartrite de joelhos</x:v>
      </x:c>
      <x:c r="F192" s="18" t="n">
        <x:v>10.5</x:v>
      </x:c>
      <x:c r="G192" s="20" t="n">
        <x:v>0.7</x:v>
      </x:c>
      <x:c r="H192" s="15" t="n">
        <x:v>193</x:v>
      </x:c>
      <x:c r="I192" s="18" t="n">
        <x:v>31.4</x:v>
      </x:c>
      <x:c r="J192" s="15" t="str">
        <x:v>Metformina 1.000 mg 2x/dia; Levotiroxina 75 mcg/dia</x:v>
      </x:c>
      <x:c r="K192" s="15" t="str">
        <x:v>Não</x:v>
      </x:c>
      <x:c r="L192" s="15" t="str">
        <x:v>Não</x:v>
      </x:c>
      <x:c r="M192" s="22" t="n">
        <x:v>46256</x:v>
      </x:c>
      <x:c r="N192" s="15" t="str">
        <x:v>Paciente com diagnóstico prévio de DM2, em seguimento regular. 63 anos, sexo F. Refere uso regular das medicações. Exames recentes: HbA1c 10.5%, glicemia de jejum 193 mg/dL, creatinina 0.70 mg/dL. IMC 31.4 kg/m². Em uso de Metformina 1.000 mg 2x/dia; Levotiroxina 75 mcg/dia. Caso construído próximo a um ponto de corte do protocolo. Sem queixas agudas no momento. Mantida terapêutica atual até reavaliação.</x:v>
      </x:c>
      <x:c r="O192" s="15" t="str">
        <x:v>Limítrofe</x:v>
      </x:c>
      <x:c r="P192" s="15" t="str">
        <x:v>HbA1c máxima — dentro por pequena margem</x:v>
      </x:c>
      <x:c r="Q192" s="15" t="str">
        <x:f>IF(AND(B192&gt;=30,B192&lt;=70,F192&gt;=7,F192&lt;=10.5,G192&lt;=1.5,I192&gt;=25,I192&lt;=45,OR(ISNUMBER(SEARCH("diabetes",D192)),ISNUMBER(SEARCH("DM",D192))),ISNUMBER(SEARCH("metformina",J192)),K192="Não",L192="Não"),"Elegível","Não elegível")</x:f>
        <x:v>Elegível</x:v>
      </x:c>
    </x:row>
    <x:row r="193" ht="54" customHeight="1">
      <x:c r="A193" s="15" t="str">
        <x:v>PAC-192</x:v>
      </x:c>
      <x:c r="B193" s="15" t="n">
        <x:v>47</x:v>
      </x:c>
      <x:c r="C193" s="15" t="str">
        <x:v>M</x:v>
      </x:c>
      <x:c r="D193" s="15" t="str">
        <x:v>Diabetes mellitus tipo II</x:v>
      </x:c>
      <x:c r="E193" s="15" t="str">
        <x:v>Hipertensão arterial sistêmica</x:v>
      </x:c>
      <x:c r="F193" s="18" t="n">
        <x:v>9.5</x:v>
      </x:c>
      <x:c r="G193" s="20" t="n">
        <x:v>1.49</x:v>
      </x:c>
      <x:c r="H193" s="15" t="n">
        <x:v>169</x:v>
      </x:c>
      <x:c r="I193" s="18" t="n">
        <x:v>30.3</x:v>
      </x:c>
      <x:c r="J193" s="15" t="str">
        <x:v>Metformina 1.000 mg 2x/dia</x:v>
      </x:c>
      <x:c r="K193" s="15" t="str">
        <x:v>Não</x:v>
      </x:c>
      <x:c r="L193" s="15" t="str">
        <x:v>Não</x:v>
      </x:c>
      <x:c r="M193" s="22" t="n">
        <x:v>46062</x:v>
      </x:c>
      <x:c r="N193" s="15" t="str">
        <x:v>Reavaliação clínica de paciente com diabetes tipo 2. 47 anos, sexo M. Relata boa adesão ao tratamento prescrito. Exames recentes: HbA1c 9.5%, glicemia de jejum 169 mg/dL, creatinina 1.49 mg/dL. IMC 30.3 kg/m². Em uso de Metformina 1.000 mg 2x/dia. Caso construído próximo a um ponto de corte do protocolo. Clinicamente estável, sem intercorrências recentes. Mantida terapêutica atual até reavaliação.</x:v>
      </x:c>
      <x:c r="O193" s="15" t="str">
        <x:v>Limítrofe</x:v>
      </x:c>
      <x:c r="P193" s="15" t="str">
        <x:v>Creatinina próxima do limite — dentro por pequena margem</x:v>
      </x:c>
      <x:c r="Q193" s="15" t="str">
        <x:f>IF(AND(B193&gt;=30,B193&lt;=70,F193&gt;=7,F193&lt;=10.5,G193&lt;=1.5,I193&gt;=25,I193&lt;=45,OR(ISNUMBER(SEARCH("diabetes",D193)),ISNUMBER(SEARCH("DM",D193))),ISNUMBER(SEARCH("metformina",J193)),K193="Não",L193="Não"),"Elegível","Não elegível")</x:f>
        <x:v>Elegível</x:v>
      </x:c>
    </x:row>
    <x:row r="194" ht="54" customHeight="1">
      <x:c r="A194" s="15" t="str">
        <x:v>PAC-193</x:v>
      </x:c>
      <x:c r="B194" s="15" t="n">
        <x:v>53</x:v>
      </x:c>
      <x:c r="C194" s="15" t="str">
        <x:v>F</x:v>
      </x:c>
      <x:c r="D194" s="15" t="str">
        <x:v>Diabetes mellitus tipo 2</x:v>
      </x:c>
      <x:c r="E194" s="15" t="str">
        <x:v>Doença do refluxo gastroesofágico</x:v>
      </x:c>
      <x:c r="F194" s="18" t="n">
        <x:v>10.6</x:v>
      </x:c>
      <x:c r="G194" s="20" t="n">
        <x:v>0.76</x:v>
      </x:c>
      <x:c r="H194" s="15" t="n">
        <x:v>185</x:v>
      </x:c>
      <x:c r="I194" s="18" t="n">
        <x:v>40.2</x:v>
      </x:c>
      <x:c r="J194" s="15" t="str">
        <x:v>Metformina 850 mg manhã e noite; Levotiroxina 75 mcg/dia</x:v>
      </x:c>
      <x:c r="K194" s="15" t="str">
        <x:v>Não</x:v>
      </x:c>
      <x:c r="L194" s="15" t="str">
        <x:v>Não</x:v>
      </x:c>
      <x:c r="M194" s="22" t="n">
        <x:v>46112</x:v>
      </x:c>
      <x:c r="N194" s="15" t="str">
        <x:v>Paciente em acompanhamento ambulatorial por DM2. 53 anos, sexo F. Informa uso irregular da dieta, porém mantém as medicações. Exames recentes: HbA1c 10.6%, glicemia de jejum 185 mg/dL, creatinina 0.76 mg/dL. IMC 40.2 kg/m². Em uso de Metformina 850 mg manhã e noite; Levotiroxina 75 mcg/dia. Caso construído próximo a um ponto de corte do protocolo. Nega hipoglicemias sintomáticas. Reforçadas orientações dietéticas e de atividade física.</x:v>
      </x:c>
      <x:c r="O194" s="15" t="str">
        <x:v>Limítrofe</x:v>
      </x:c>
      <x:c r="P194" s="15" t="str">
        <x:v>HbA1c máxima — fora por pequena margem</x:v>
      </x:c>
      <x:c r="Q194" s="15" t="str">
        <x:f>IF(AND(B194&gt;=30,B194&lt;=70,F194&gt;=7,F194&lt;=10.5,G194&lt;=1.5,I194&gt;=25,I194&lt;=45,OR(ISNUMBER(SEARCH("diabetes",D194)),ISNUMBER(SEARCH("DM",D194))),ISNUMBER(SEARCH("metformina",J194)),K194="Não",L194="Não"),"Elegível","Não elegível")</x:f>
        <x:v>Não elegível</x:v>
      </x:c>
    </x:row>
    <x:row r="195" ht="54" customHeight="1">
      <x:c r="A195" s="15" t="str">
        <x:v>PAC-194</x:v>
      </x:c>
      <x:c r="B195" s="15" t="n">
        <x:v>42</x:v>
      </x:c>
      <x:c r="C195" s="15" t="str">
        <x:v>M</x:v>
      </x:c>
      <x:c r="D195" s="15" t="str">
        <x:v>Diabetes mellitus tipo II</x:v>
      </x:c>
      <x:c r="E195" s="15" t="str">
        <x:v>Osteoartrite de joelhos</x:v>
      </x:c>
      <x:c r="F195" s="18" t="n">
        <x:v>6.9</x:v>
      </x:c>
      <x:c r="G195" s="20" t="n">
        <x:v>1.3</x:v>
      </x:c>
      <x:c r="H195" s="15" t="n">
        <x:v>146</x:v>
      </x:c>
      <x:c r="I195" s="18" t="n">
        <x:v>26.4</x:v>
      </x:c>
      <x:c r="J195" s="15" t="str">
        <x:v>Metformina 850 mg 2x/dia; Sinvastatina 20 mg à noite</x:v>
      </x:c>
      <x:c r="K195" s="15" t="str">
        <x:v>Não</x:v>
      </x:c>
      <x:c r="L195" s="15" t="str">
        <x:v>Não</x:v>
      </x:c>
      <x:c r="M195" s="22" t="n">
        <x:v>46077</x:v>
      </x:c>
      <x:c r="N195" s="15" t="str">
        <x:v>Em consulta de rotina para controle metabólico. 42 anos, sexo M. Refere uso regular das medicações. Exames recentes: HbA1c 6.9%, glicemia de jejum 146 mg/dL, creatinina 1.30 mg/dL. IMC 26.4 kg/m². Em uso de Metformina 850 mg 2x/dia; Sinvastatina 20 mg à noite. Caso construído próximo a um ponto de corte do protocolo. Sem sintomas sugestivos de descompensação aguda. Programado retorno com novos exames laboratoriais.</x:v>
      </x:c>
      <x:c r="O195" s="15" t="str">
        <x:v>Limítrofe</x:v>
      </x:c>
      <x:c r="P195" s="15" t="str">
        <x:v>HbA1c mínima — fora por pequena margem</x:v>
      </x:c>
      <x:c r="Q195" s="15" t="str">
        <x:f>IF(AND(B195&gt;=30,B195&lt;=70,F195&gt;=7,F195&lt;=10.5,G195&lt;=1.5,I195&gt;=25,I195&lt;=45,OR(ISNUMBER(SEARCH("diabetes",D195)),ISNUMBER(SEARCH("DM",D195))),ISNUMBER(SEARCH("metformina",J195)),K195="Não",L195="Não"),"Elegível","Não elegível")</x:f>
        <x:v>Não elegível</x:v>
      </x:c>
    </x:row>
    <x:row r="196" ht="54" customHeight="1">
      <x:c r="A196" s="15" t="str">
        <x:v>PAC-195</x:v>
      </x:c>
      <x:c r="B196" s="15" t="n">
        <x:v>39</x:v>
      </x:c>
      <x:c r="C196" s="15" t="str">
        <x:v>M</x:v>
      </x:c>
      <x:c r="D196" s="15" t="str">
        <x:v>Diabetes mellitus tipo II</x:v>
      </x:c>
      <x:c r="E196" s="15" t="str">
        <x:v>Obesidade; Hipertensão arterial sistêmica</x:v>
      </x:c>
      <x:c r="F196" s="18" t="n">
        <x:v>6.9</x:v>
      </x:c>
      <x:c r="G196" s="20" t="n">
        <x:v>0.83</x:v>
      </x:c>
      <x:c r="H196" s="15" t="n">
        <x:v>141</x:v>
      </x:c>
      <x:c r="I196" s="18" t="n">
        <x:v>28.6</x:v>
      </x:c>
      <x:c r="J196" s="15" t="str">
        <x:v>Metformina 850 mg 2x/dia</x:v>
      </x:c>
      <x:c r="K196" s="15" t="str">
        <x:v>Não</x:v>
      </x:c>
      <x:c r="L196" s="15" t="str">
        <x:v>Não</x:v>
      </x:c>
      <x:c r="M196" s="22" t="n">
        <x:v>46036</x:v>
      </x:c>
      <x:c r="N196" s="15" t="str">
        <x:v>Paciente em acompanhamento ambulatorial por DM2. 39 anos, sexo M. Refere adesão parcial às medidas não farmacológicas. Exames recentes: HbA1c 6.9%, glicemia de jejum 141 mg/dL, creatinina 0.83 mg/dL. IMC 28.6 kg/m². Em uso de Metformina 850 mg 2x/dia. Caso construído próximo a um ponto de corte do protocolo. Nega poliúria, polidipsia ou perda ponderal recente. Reforçadas orientações dietéticas e de atividade física.</x:v>
      </x:c>
      <x:c r="O196" s="15" t="str">
        <x:v>Limítrofe</x:v>
      </x:c>
      <x:c r="P196" s="15" t="str">
        <x:v>HbA1c mínima — fora por pequena margem</x:v>
      </x:c>
      <x:c r="Q196" s="15" t="str">
        <x:f>IF(AND(B196&gt;=30,B196&lt;=70,F196&gt;=7,F196&lt;=10.5,G196&lt;=1.5,I196&gt;=25,I196&lt;=45,OR(ISNUMBER(SEARCH("diabetes",D196)),ISNUMBER(SEARCH("DM",D196))),ISNUMBER(SEARCH("metformina",J196)),K196="Não",L196="Não"),"Elegível","Não elegível")</x:f>
        <x:v>Não elegível</x:v>
      </x:c>
    </x:row>
    <x:row r="197" ht="54" customHeight="1">
      <x:c r="A197" s="15" t="str">
        <x:v>PAC-196</x:v>
      </x:c>
      <x:c r="B197" s="15" t="n">
        <x:v>60</x:v>
      </x:c>
      <x:c r="C197" s="15" t="str">
        <x:v>F</x:v>
      </x:c>
      <x:c r="D197" s="15" t="str">
        <x:v>Diabetes mellitus tipo II</x:v>
      </x:c>
      <x:c r="E197" s="15" t="str">
        <x:v>Doença do refluxo gastroesofágico</x:v>
      </x:c>
      <x:c r="F197" s="18" t="n">
        <x:v>10.5</x:v>
      </x:c>
      <x:c r="G197" s="20" t="n">
        <x:v>1.25</x:v>
      </x:c>
      <x:c r="H197" s="15" t="n">
        <x:v>191</x:v>
      </x:c>
      <x:c r="I197" s="18" t="n">
        <x:v>37.9</x:v>
      </x:c>
      <x:c r="J197" s="15" t="str">
        <x:v>Metformina XR 500 mg 2x/dia; Losartana 50 mg/dia; Atorvastatina 20 mg/noite</x:v>
      </x:c>
      <x:c r="K197" s="15" t="str">
        <x:v>Não</x:v>
      </x:c>
      <x:c r="L197" s="15" t="str">
        <x:v>Não</x:v>
      </x:c>
      <x:c r="M197" s="22" t="n">
        <x:v>46178</x:v>
      </x:c>
      <x:c r="N197" s="15" t="str">
        <x:v>Retorna para seguimento de diabetes mellitus tipo 2. 60 anos, sexo F. Refere uso regular das medicações. Exames recentes: HbA1c 10.5%, glicemia de jejum 191 mg/dL, creatinina 1.25 mg/dL. IMC 37.9 kg/m². Em uso de Metformina XR 500 mg 2x/dia; Losartana 50 mg/dia; Atorvastatina 20 mg/noite. Caso construído próximo a um ponto de corte do protocolo. Sem queixas agudas no momento. Mantido acompanhamento e reforçadas medidas de estilo de vida.</x:v>
      </x:c>
      <x:c r="O197" s="15" t="str">
        <x:v>Limítrofe</x:v>
      </x:c>
      <x:c r="P197" s="15" t="str">
        <x:v>HbA1c máxima — dentro por pequena margem</x:v>
      </x:c>
      <x:c r="Q197" s="15" t="str">
        <x:f>IF(AND(B197&gt;=30,B197&lt;=70,F197&gt;=7,F197&lt;=10.5,G197&lt;=1.5,I197&gt;=25,I197&lt;=45,OR(ISNUMBER(SEARCH("diabetes",D197)),ISNUMBER(SEARCH("DM",D197))),ISNUMBER(SEARCH("metformina",J197)),K197="Não",L197="Não"),"Elegível","Não elegível")</x:f>
        <x:v>Elegível</x:v>
      </x:c>
    </x:row>
    <x:row r="198" ht="54" customHeight="1">
      <x:c r="A198" s="15" t="str">
        <x:v>PAC-197</x:v>
      </x:c>
      <x:c r="B198" s="15" t="n">
        <x:v>55</x:v>
      </x:c>
      <x:c r="C198" s="15" t="str">
        <x:v>F</x:v>
      </x:c>
      <x:c r="D198" s="15" t="str">
        <x:v>DM2</x:v>
      </x:c>
      <x:c r="E198" s="15" t="str">
        <x:v>Doença do refluxo gastroesofágico</x:v>
      </x:c>
      <x:c r="F198" s="18" t="n">
        <x:v>7.1</x:v>
      </x:c>
      <x:c r="G198" s="20" t="n">
        <x:v>1.18</x:v>
      </x:c>
      <x:c r="H198" s="15" t="n">
        <x:v>152</x:v>
      </x:c>
      <x:c r="I198" s="18" t="n">
        <x:v>27.7</x:v>
      </x:c>
      <x:c r="J198" s="15" t="str">
        <x:v>Metformina 850 mg manhã e noite; Losartana 50 mg/dia; Atorvastatina 20 mg/noite</x:v>
      </x:c>
      <x:c r="K198" s="15" t="str">
        <x:v>Não</x:v>
      </x:c>
      <x:c r="L198" s="15" t="str">
        <x:v>Não</x:v>
      </x:c>
      <x:c r="M198" s="22" t="n">
        <x:v>46182</x:v>
      </x:c>
      <x:c r="N198" s="15" t="str">
        <x:v>Em consulta de rotina para controle metabólico. 55 anos, sexo F. Nega interrupção recente das medicações. Exames recentes: HbA1c 7.1%, glicemia de jejum 152 mg/dL, creatinina 1.18 mg/dL. IMC 27.7 kg/m². Em uso de Metformina 850 mg manhã e noite; Losartana 50 mg/dia; Atorvastatina 20 mg/noite. Caso construído próximo a um ponto de corte do protocolo. Sem sintomas sugestivos de descompensação aguda. Mantida terapêutica atual até reavaliação.</x:v>
      </x:c>
      <x:c r="O198" s="15" t="str">
        <x:v>Limítrofe</x:v>
      </x:c>
      <x:c r="P198" s="15" t="str">
        <x:v>HbA1c mínima — dentro por pequena margem</x:v>
      </x:c>
      <x:c r="Q198" s="15" t="str">
        <x:f>IF(AND(B198&gt;=30,B198&lt;=70,F198&gt;=7,F198&lt;=10.5,G198&lt;=1.5,I198&gt;=25,I198&lt;=45,OR(ISNUMBER(SEARCH("diabetes",D198)),ISNUMBER(SEARCH("DM",D198))),ISNUMBER(SEARCH("metformina",J198)),K198="Não",L198="Não"),"Elegível","Não elegível")</x:f>
        <x:v>Elegível</x:v>
      </x:c>
    </x:row>
    <x:row r="199" ht="54" customHeight="1">
      <x:c r="A199" s="15" t="str">
        <x:v>PAC-198</x:v>
      </x:c>
      <x:c r="B199" s="15" t="n">
        <x:v>39</x:v>
      </x:c>
      <x:c r="C199" s="15" t="str">
        <x:v>M</x:v>
      </x:c>
      <x:c r="D199" s="15" t="str">
        <x:v>Diabetes mellitus tipo 2</x:v>
      </x:c>
      <x:c r="E199" s="15" t="str">
        <x:v>Hipertensão arterial sistêmica</x:v>
      </x:c>
      <x:c r="F199" s="18" t="n">
        <x:v>8.1</x:v>
      </x:c>
      <x:c r="G199" s="20" t="n">
        <x:v>0.9</x:v>
      </x:c>
      <x:c r="H199" s="15" t="n">
        <x:v>166</x:v>
      </x:c>
      <x:c r="I199" s="18" t="n">
        <x:v>25</x:v>
      </x:c>
      <x:c r="J199" s="15" t="str">
        <x:v>Metformina 1.000 mg 2x/dia; Atorvastatina 20 mg à noite</x:v>
      </x:c>
      <x:c r="K199" s="15" t="str">
        <x:v>Não</x:v>
      </x:c>
      <x:c r="L199" s="15" t="str">
        <x:v>Não</x:v>
      </x:c>
      <x:c r="M199" s="22" t="n">
        <x:v>46118</x:v>
      </x:c>
      <x:c r="N199" s="15" t="str">
        <x:v>Em consulta de rotina para controle metabólico. 39 anos, sexo M. Refere uso regular das medicações. Exames recentes: HbA1c 8.1%, glicemia de jejum 166 mg/dL, creatinina 0.90 mg/dL. IMC 25.0 kg/m². Em uso de Metformina 1.000 mg 2x/dia; Atorvastatina 20 mg à noite. Caso construído próximo a um ponto de corte do protocolo. Sem sintomas sugestivos de descompensação aguda. Orientada manutenção do seguimento e controle laboratorial.</x:v>
      </x:c>
      <x:c r="O199" s="15" t="str">
        <x:v>Limítrofe</x:v>
      </x:c>
      <x:c r="P199" s="15" t="str">
        <x:v>IMC mínimo — dentro por pequena margem</x:v>
      </x:c>
      <x:c r="Q199" s="15" t="str">
        <x:f>IF(AND(B199&gt;=30,B199&lt;=70,F199&gt;=7,F199&lt;=10.5,G199&lt;=1.5,I199&gt;=25,I199&lt;=45,OR(ISNUMBER(SEARCH("diabetes",D199)),ISNUMBER(SEARCH("DM",D199))),ISNUMBER(SEARCH("metformina",J199)),K199="Não",L199="Não"),"Elegível","Não elegível")</x:f>
        <x:v>Elegível</x:v>
      </x:c>
    </x:row>
    <x:row r="200" ht="54" customHeight="1">
      <x:c r="A200" s="15" t="str">
        <x:v>PAC-199</x:v>
      </x:c>
      <x:c r="B200" s="15" t="n">
        <x:v>69</x:v>
      </x:c>
      <x:c r="C200" s="15" t="str">
        <x:v>M</x:v>
      </x:c>
      <x:c r="D200" s="15" t="str">
        <x:v>Diabetes mellitus tipo II</x:v>
      </x:c>
      <x:c r="E200" s="15" t="str">
        <x:v>Obesidade</x:v>
      </x:c>
      <x:c r="F200" s="18" t="n">
        <x:v>8</x:v>
      </x:c>
      <x:c r="G200" s="20" t="n">
        <x:v>1.23</x:v>
      </x:c>
      <x:c r="H200" s="15" t="n">
        <x:v>174</x:v>
      </x:c>
      <x:c r="I200" s="18" t="n">
        <x:v>37.8</x:v>
      </x:c>
      <x:c r="J200" s="15" t="str">
        <x:v>Metformina 850 mg manhã e noite; Losartana 50 mg/dia; Atorvastatina 20 mg/noite</x:v>
      </x:c>
      <x:c r="K200" s="15" t="str">
        <x:v>Não</x:v>
      </x:c>
      <x:c r="L200" s="15" t="str">
        <x:v>Não</x:v>
      </x:c>
      <x:c r="M200" s="22" t="n">
        <x:v>46121</x:v>
      </x:c>
      <x:c r="N200" s="15" t="str">
        <x:v>Paciente em acompanhamento ambulatorial por DM2. 69 anos, sexo M. Nega interrupção recente das medicações. Exames recentes: HbA1c 8.0%, glicemia de jejum 174 mg/dL, creatinina 1.23 mg/dL. IMC 37.8 kg/m². Em uso de Metformina 850 mg manhã e noite; Losartana 50 mg/dia; Atorvastatina 20 mg/noite. Caso construído próximo a um ponto de corte do protocolo. Sem sintomas sugestivos de descompensação aguda. Mantido acompanhamento e reforçadas medidas de estilo de vida.</x:v>
      </x:c>
      <x:c r="O200" s="15" t="str">
        <x:v>Limítrofe</x:v>
      </x:c>
      <x:c r="P200" s="15" t="str">
        <x:v>Idade máxima — dentro por pequena margem</x:v>
      </x:c>
      <x:c r="Q200" s="15" t="str">
        <x:f>IF(AND(B200&gt;=30,B200&lt;=70,F200&gt;=7,F200&lt;=10.5,G200&lt;=1.5,I200&gt;=25,I200&lt;=45,OR(ISNUMBER(SEARCH("diabetes",D200)),ISNUMBER(SEARCH("DM",D200))),ISNUMBER(SEARCH("metformina",J200)),K200="Não",L200="Não"),"Elegível","Não elegível")</x:f>
        <x:v>Elegível</x:v>
      </x:c>
    </x:row>
    <x:row r="201" ht="54" customHeight="1">
      <x:c r="A201" s="15" t="str">
        <x:v>PAC-200</x:v>
      </x:c>
      <x:c r="B201" s="15" t="n">
        <x:v>71</x:v>
      </x:c>
      <x:c r="C201" s="15" t="str">
        <x:v>M</x:v>
      </x:c>
      <x:c r="D201" s="15" t="str">
        <x:v>DM2</x:v>
      </x:c>
      <x:c r="E201" s="15" t="str">
        <x:v>Obesidade</x:v>
      </x:c>
      <x:c r="F201" s="18" t="n">
        <x:v>9.5</x:v>
      </x:c>
      <x:c r="G201" s="20" t="n">
        <x:v>1.23</x:v>
      </x:c>
      <x:c r="H201" s="15" t="n">
        <x:v>189</x:v>
      </x:c>
      <x:c r="I201" s="18" t="n">
        <x:v>26.4</x:v>
      </x:c>
      <x:c r="J201" s="15" t="str">
        <x:v>Metformina XR 500 mg 2x/dia; Levotiroxina 75 mcg/dia</x:v>
      </x:c>
      <x:c r="K201" s="15" t="str">
        <x:v>Não</x:v>
      </x:c>
      <x:c r="L201" s="15" t="str">
        <x:v>Não</x:v>
      </x:c>
      <x:c r="M201" s="22" t="n">
        <x:v>46124</x:v>
      </x:c>
      <x:c r="N201" s="15" t="str">
        <x:v>Paciente em acompanhamento ambulatorial por DM2. 71 anos, sexo M. Relata boa adesão ao tratamento prescrito. Exames recentes: HbA1c 9.5%, glicemia de jejum 189 mg/dL, creatinina 1.23 mg/dL. IMC 26.4 kg/m². Em uso de Metformina XR 500 mg 2x/dia; Levotiroxina 75 mcg/dia. Caso construído próximo a um ponto de corte do protocolo. Clinicamente estável, sem intercorrências recentes. Mantido acompanhamento e reforçadas medidas de estilo de vida.</x:v>
      </x:c>
      <x:c r="O201" s="15" t="str">
        <x:v>Limítrofe</x:v>
      </x:c>
      <x:c r="P201" s="15" t="str">
        <x:v>Idade máxima — fora por pequena margem</x:v>
      </x:c>
      <x:c r="Q201" s="15" t="str">
        <x:f>IF(AND(B201&gt;=30,B201&lt;=70,F201&gt;=7,F201&lt;=10.5,G201&lt;=1.5,I201&gt;=25,I201&lt;=45,OR(ISNUMBER(SEARCH("diabetes",D201)),ISNUMBER(SEARCH("DM",D201))),ISNUMBER(SEARCH("metformina",J201)),K201="Não",L201="Não"),"Elegível","Não elegível")</x:f>
        <x:v>Não elegível</x:v>
      </x:c>
    </x:row>
  </x:sheetData>
  <x:conditionalFormatting sqref="Q2:Q201">
    <x:cfRule type="expression" dxfId="0" priority="1">
      <x:formula>Q2="Elegível"</x:formula>
    </x:cfRule>
    <x:cfRule type="expression" dxfId="1" priority="2">
      <x:formula>Q2="Não elegível"</x:formula>
    </x:cfRule>
  </x:conditionalFormatting>
  <x:conditionalFormatting sqref="O2:O201">
    <x:cfRule type="expression" dxfId="2" priority="3">
      <x:formula>O2="Limítrofe"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2dd1c2fc7242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 ht="26" customHeight="1">
      <x:c r="A1" s="10" t="str">
        <x:v>ESTUDO SIMULADO</x:v>
      </x:c>
      <x:c r="B1" s="10" t="str">
        <x:v>Controle Glicêmico em Pacientes com Diabetes Mellitus Tipo 2</x:v>
      </x:c>
    </x:row>
    <x:row r="2" ht="48" customHeight="1">
      <x:c r="A2" s="11" t="str">
        <x:v>Objetivo</x:v>
      </x:c>
      <x:c r="B2" s="11" t="str">
        <x:v>Identificar pacientes com DM2 em controle glicêmico insatisfatório para participação em estudo de nova terapia adjuvante à Metformina.</x:v>
      </x:c>
    </x:row>
    <x:row r="3" ht="26" customHeight="1">
      <x:c r="A3" s="11" t="str"/>
      <x:c r="B3" s="11" t="str"/>
    </x:row>
    <x:row r="4" ht="26" customHeight="1">
      <x:c r="A4" s="10" t="str">
        <x:v>Critério</x:v>
      </x:c>
      <x:c r="B4" s="10" t="str">
        <x:v>Regra</x:v>
      </x:c>
    </x:row>
    <x:row r="5" ht="26" customHeight="1">
      <x:c r="A5" s="11" t="str">
        <x:v>Diagnóstico</x:v>
      </x:c>
      <x:c r="B5" s="11" t="str">
        <x:v>Diabetes mellitus tipo 2 confirmado</x:v>
      </x:c>
    </x:row>
    <x:row r="6" ht="26" customHeight="1">
      <x:c r="A6" s="11" t="str">
        <x:v>Idade</x:v>
      </x:c>
      <x:c r="B6" s="11" t="str">
        <x:v>30 a 70 anos, inclusive</x:v>
      </x:c>
    </x:row>
    <x:row r="7" ht="26" customHeight="1">
      <x:c r="A7" s="11" t="str">
        <x:v>HbA1c</x:v>
      </x:c>
      <x:c r="B7" s="11" t="str">
        <x:v>7,0% a 10,5%, inclusive</x:v>
      </x:c>
    </x:row>
    <x:row r="8" ht="26" customHeight="1">
      <x:c r="A8" s="11" t="str">
        <x:v>Metformina</x:v>
      </x:c>
      <x:c r="B8" s="11" t="str">
        <x:v>Em uso</x:v>
      </x:c>
    </x:row>
    <x:row r="9" ht="26" customHeight="1">
      <x:c r="A9" s="11" t="str">
        <x:v>IMC</x:v>
      </x:c>
      <x:c r="B9" s="11" t="str">
        <x:v>25 a 45 kg/m², inclusive</x:v>
      </x:c>
    </x:row>
    <x:row r="10" ht="26" customHeight="1">
      <x:c r="A10" s="11" t="str">
        <x:v>Creatinina</x:v>
      </x:c>
      <x:c r="B10" s="11" t="str">
        <x:v>Excluir se &gt; 1,5 mg/dL</x:v>
      </x:c>
    </x:row>
    <x:row r="11" ht="26" customHeight="1">
      <x:c r="A11" s="11" t="str">
        <x:v>Neoplasia ativa</x:v>
      </x:c>
      <x:c r="B11" s="11" t="str">
        <x:v>Excluir se Sim</x:v>
      </x:c>
    </x:row>
    <x:row r="12" ht="26" customHeight="1">
      <x:c r="A12" s="11" t="str">
        <x:v>Gestação</x:v>
      </x:c>
      <x:c r="B12" s="11" t="str">
        <x:v>Excluir se Sim</x:v>
      </x:c>
    </x:row>
    <x:row r="13" ht="26" customHeight="1">
      <x:c r="A13" s="11" t="str"/>
      <x:c r="B13" s="11" t="str"/>
    </x:row>
    <x:row r="14" ht="26" customHeight="1">
      <x:c r="A14" s="11" t="str">
        <x:v>Distribuição da base</x:v>
      </x:c>
      <x:c r="B14" s="11" t="str">
        <x:v>100 elegíveis + 70 não elegíveis + 30 limítrofes = 200 registros</x:v>
      </x:c>
    </x:row>
    <x:row r="15" ht="26" customHeight="1">
      <x:c r="A15" s="11" t="str">
        <x:v>Observação</x:v>
      </x:c>
      <x:c r="B15" s="11" t="str">
        <x:v>Todos os registros são integralmente fictícios e não correspondem a pacientes reais.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6" max="6" width="24" hidden="0" customWidth="1"/>
    <x:col min="7" max="7" width="50" hidden="0" customWidth="1"/>
  </x:cols>
  <x:sheetData>
    <x:row r="1">
      <x:c r="A1" s="10" t="str">
        <x:v>Grupo de simulação</x:v>
      </x:c>
      <x:c r="B1" s="10" t="str">
        <x:v>N esperado</x:v>
      </x:c>
      <x:c r="C1" s="10" t="str">
        <x:v>N observado</x:v>
      </x:c>
      <x:c r="D1" s="10" t="str">
        <x:v>% da base</x:v>
      </x:c>
      <x:c r="E1" s="11"/>
      <x:c r="F1" s="10" t="str">
        <x:v>Elegibilidade calculada</x:v>
      </x:c>
      <x:c r="G1" s="10" t="str">
        <x:v>N</x:v>
      </x:c>
    </x:row>
    <x:row r="2">
      <x:c r="A2" s="11" t="str">
        <x:v>Elegível</x:v>
      </x:c>
      <x:c r="B2" s="11" t="n">
        <x:v>100</x:v>
      </x:c>
      <x:c r="C2" s="11" t="n">
        <x:f>COUNTIF(Base_Pacientes!$O$2:$O$201,A2)</x:f>
        <x:v>100</x:v>
      </x:c>
      <x:c r="D2" s="26" t="n">
        <x:f>C2/200</x:f>
        <x:v>0.5</x:v>
      </x:c>
      <x:c r="E2" s="11"/>
      <x:c r="F2" s="11" t="str">
        <x:v>Elegível</x:v>
      </x:c>
      <x:c r="G2" s="11" t="n">
        <x:f>COUNTIF(Base_Pacientes!$Q$2:$Q$201,F2)</x:f>
        <x:v>115</x:v>
      </x:c>
    </x:row>
    <x:row r="3">
      <x:c r="A3" s="11" t="str">
        <x:v>Não elegível</x:v>
      </x:c>
      <x:c r="B3" s="11" t="n">
        <x:v>70</x:v>
      </x:c>
      <x:c r="C3" s="11" t="n">
        <x:f>COUNTIF(Base_Pacientes!$O$2:$O$201,A3)</x:f>
        <x:v>70</x:v>
      </x:c>
      <x:c r="D3" s="26" t="n">
        <x:f>C3/200</x:f>
        <x:v>0.35</x:v>
      </x:c>
      <x:c r="E3" s="11"/>
      <x:c r="F3" s="11" t="str">
        <x:v>Não elegível</x:v>
      </x:c>
      <x:c r="G3" s="11" t="n">
        <x:f>COUNTIF(Base_Pacientes!$Q$2:$Q$201,F3)</x:f>
        <x:v>85</x:v>
      </x:c>
    </x:row>
    <x:row r="4">
      <x:c r="A4" s="11" t="str">
        <x:v>Limítrofe</x:v>
      </x:c>
      <x:c r="B4" s="11" t="n">
        <x:v>30</x:v>
      </x:c>
      <x:c r="C4" s="11" t="n">
        <x:f>COUNTIF(Base_Pacientes!$O$2:$O$201,A4)</x:f>
        <x:v>30</x:v>
      </x:c>
      <x:c r="D4" s="26" t="n">
        <x:f>C4/200</x:f>
        <x:v>0.15</x:v>
      </x:c>
      <x:c r="E4" s="11"/>
      <x:c r="F4" s="11"/>
      <x:c r="G4" s="11"/>
    </x:row>
    <x:row r="5">
      <x:c r="A5" s="11"/>
      <x:c r="B5" s="11"/>
      <x:c r="C5" s="11"/>
      <x:c r="D5" s="11"/>
      <x:c r="E5" s="11"/>
      <x:c r="F5" s="10" t="str">
        <x:v>Nota</x:v>
      </x:c>
      <x:c r="G5" s="10" t="str"/>
    </x:row>
    <x:row r="6">
      <x:c r="A6" s="10" t="str">
        <x:v>Motivos/casos simulados</x:v>
      </x:c>
      <x:c r="B6" s="10" t="str">
        <x:v>N</x:v>
      </x:c>
      <x:c r="C6" s="11"/>
      <x:c r="D6" s="11"/>
      <x:c r="E6" s="11"/>
      <x:c r="F6" s="11" t="str">
        <x:v>Casos limítrofes</x:v>
      </x:c>
      <x:c r="G6" s="11" t="str">
        <x:v>15 estão imediatamente dentro dos critérios e 15 imediatamente fora; por isso entram na contagem calculada conforme seus valores.</x:v>
      </x:c>
    </x:row>
    <x:row r="7">
      <x:c r="A7" s="11" t="str">
        <x:v>Creatinina acima do limite</x:v>
      </x:c>
      <x:c r="B7" s="11" t="n">
        <x:f>COUNTIF(Base_Pacientes!$P$2:$P$201,A7)</x:f>
        <x:v>10</x:v>
      </x:c>
      <x:c r="C7" s="11"/>
      <x:c r="D7" s="11"/>
      <x:c r="E7" s="11"/>
      <x:c r="F7" s="11"/>
      <x:c r="G7" s="11"/>
    </x:row>
    <x:row r="8">
      <x:c r="A8" s="11" t="str">
        <x:v>Neoplasia ativa</x:v>
      </x:c>
      <x:c r="B8" s="11" t="n">
        <x:f>COUNTIF(Base_Pacientes!$P$2:$P$201,A8)</x:f>
        <x:v>8</x:v>
      </x:c>
      <x:c r="C8" s="11"/>
      <x:c r="D8" s="11"/>
      <x:c r="E8" s="11"/>
      <x:c r="F8" s="11"/>
      <x:c r="G8" s="11"/>
    </x:row>
    <x:row r="9">
      <x:c r="A9" s="11" t="str">
        <x:v>Gestação</x:v>
      </x:c>
      <x:c r="B9" s="11" t="n">
        <x:f>COUNTIF(Base_Pacientes!$P$2:$P$201,A9)</x:f>
        <x:v>8</x:v>
      </x:c>
      <x:c r="C9" s="11"/>
      <x:c r="D9" s="11"/>
      <x:c r="E9" s="11"/>
      <x:c r="F9" s="11"/>
      <x:c r="G9" s="11"/>
    </x:row>
    <x:row r="10">
      <x:c r="A10" s="11" t="str">
        <x:v>HbA1c abaixo da faixa</x:v>
      </x:c>
      <x:c r="B10" s="11" t="n">
        <x:f>COUNTIF(Base_Pacientes!$P$2:$P$201,A10)</x:f>
        <x:v>9</x:v>
      </x:c>
      <x:c r="C10" s="11"/>
      <x:c r="D10" s="11"/>
      <x:c r="E10" s="11"/>
      <x:c r="F10" s="11"/>
      <x:c r="G10" s="11"/>
    </x:row>
    <x:row r="11">
      <x:c r="A11" s="11" t="str">
        <x:v>HbA1c acima da faixa</x:v>
      </x:c>
      <x:c r="B11" s="11" t="n">
        <x:f>COUNTIF(Base_Pacientes!$P$2:$P$201,A11)</x:f>
        <x:v>9</x:v>
      </x:c>
      <x:c r="C11" s="11"/>
      <x:c r="D11" s="11"/>
      <x:c r="E11" s="11"/>
      <x:c r="F11" s="11"/>
      <x:c r="G11" s="11"/>
    </x:row>
    <x:row r="12">
      <x:c r="A12" s="11" t="str">
        <x:v>Idade abaixo da faixa</x:v>
      </x:c>
      <x:c r="B12" s="11" t="n">
        <x:f>COUNTIF(Base_Pacientes!$P$2:$P$201,A12)</x:f>
        <x:v>7</x:v>
      </x:c>
      <x:c r="C12" s="11"/>
      <x:c r="D12" s="11"/>
      <x:c r="E12" s="11"/>
      <x:c r="F12" s="11"/>
      <x:c r="G12" s="11"/>
    </x:row>
    <x:row r="13">
      <x:c r="A13" s="11" t="str">
        <x:v>Idade acima da faixa</x:v>
      </x:c>
      <x:c r="B13" s="11" t="n">
        <x:f>COUNTIF(Base_Pacientes!$P$2:$P$201,A13)</x:f>
        <x:v>7</x:v>
      </x:c>
      <x:c r="C13" s="11"/>
      <x:c r="D13" s="11"/>
      <x:c r="E13" s="11"/>
      <x:c r="F13" s="11"/>
      <x:c r="G13" s="11"/>
    </x:row>
    <x:row r="14">
      <x:c r="A14" s="11" t="str">
        <x:v>IMC abaixo da faixa</x:v>
      </x:c>
      <x:c r="B14" s="11" t="n">
        <x:f>COUNTIF(Base_Pacientes!$P$2:$P$201,A14)</x:f>
        <x:v>5</x:v>
      </x:c>
      <x:c r="C14" s="11"/>
      <x:c r="D14" s="11"/>
      <x:c r="E14" s="11"/>
      <x:c r="F14" s="11"/>
      <x:c r="G14" s="11"/>
    </x:row>
    <x:row r="15">
      <x:c r="A15" s="11" t="str">
        <x:v>IMC acima da faixa</x:v>
      </x:c>
      <x:c r="B15" s="11" t="n">
        <x:f>COUNTIF(Base_Pacientes!$P$2:$P$201,A15)</x:f>
        <x:v>4</x:v>
      </x:c>
      <x:c r="C15" s="11"/>
      <x:c r="D15" s="11"/>
      <x:c r="E15" s="11"/>
      <x:c r="F15" s="11"/>
      <x:c r="G15" s="11"/>
    </x:row>
    <x:row r="16">
      <x:c r="A16" s="11" t="str">
        <x:v>Sem uso de Metformina</x:v>
      </x:c>
      <x:c r="B16" s="11" t="n">
        <x:f>COUNTIF(Base_Pacientes!$P$2:$P$201,A16)</x:f>
        <x:v>3</x:v>
      </x:c>
      <x:c r="C16" s="11"/>
      <x:c r="D16" s="11"/>
      <x:c r="E16" s="11"/>
      <x:c r="F16" s="11"/>
      <x:c r="G16" s="11"/>
    </x:row>
  </x:sheetData>
  <x:pageMargins left="0.7" right="0.7" top="0.75" bottom="0.75" header="0.3" footer="0.3"/>
  <x:drawing xmlns:r="http://schemas.openxmlformats.org/officeDocument/2006/relationships" r:id="R07a480c2ed354f3d"/>
</x:worksheet>
</file>